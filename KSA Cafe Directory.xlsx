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Full Ratings" sheetId="2" r:id="rId6"/>
    <sheet state="visible" name="Yet to Try"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Safarjal Branch</t>
      </text>
    </comment>
    <comment authorId="0" ref="B32">
      <text>
        <t xml:space="preserve">Marwah Branch</t>
      </text>
    </comment>
    <comment authorId="0" ref="D1">
      <text>
        <t xml:space="preserve">Appearance, type of seating available, comfortability</t>
      </text>
    </comment>
    <comment authorId="0" ref="E1">
      <text>
        <t xml:space="preserve">How good is their coffee
Based on order of a hot V60
Will accept any recommendations they give, extra points for having different roast levels, coffee origins, processing methods, decaf options</t>
      </text>
    </comment>
    <comment authorId="0" ref="B30">
      <text>
        <t xml:space="preserve">Al Naeem
</t>
      </text>
    </comment>
    <comment authorId="0" ref="F1">
      <text>
        <t xml:space="preserve">Based on what the barista recommends and variety of deserts they have</t>
      </text>
    </comment>
    <comment authorId="0" ref="G1">
      <text>
        <t xml:space="preserve">Power port, Service speed and treatment, entertainment (boardgames), merchanidise</t>
      </text>
    </comment>
    <comment authorId="0" ref="B28">
      <text>
        <t xml:space="preserve">Al Rawdah
</t>
      </text>
    </comment>
    <comment authorId="0" ref="I1">
      <text>
        <t xml:space="preserve">[Threaded comment]
Your version of Excel allows you to read this threaded comment; however, any edits to it will get removed if the file is opened in a newer version of Excel. Learn more: https://go.microsoft.com/fwlink/?linkid=870924
Comment:
    Coffee prices only</t>
      </text>
    </comment>
    <comment authorId="0" ref="B26">
      <text>
        <t xml:space="preserve">Al shatie
</t>
      </text>
    </comment>
    <comment authorId="0" ref="B24">
      <text>
        <t xml:space="preserve">Nahda Branch</t>
      </text>
    </comment>
    <comment authorId="0" ref="B22">
      <text>
        <t xml:space="preserve">Rawda Branch</t>
      </text>
    </comment>
    <comment authorId="0" ref="B20">
      <text>
        <t xml:space="preserve">Nahda Branch</t>
      </text>
    </comment>
    <comment authorId="0" ref="B18">
      <text>
        <t xml:space="preserve">Al Sulaimaniyah Branch</t>
      </text>
    </comment>
    <comment authorId="0" ref="B16">
      <text>
        <t xml:space="preserve">Zahra Branch</t>
      </text>
    </comment>
    <comment authorId="0" ref="B14">
      <text>
        <t xml:space="preserve">Naeem Branch</t>
      </text>
    </comment>
    <comment authorId="0" ref="B12">
      <text>
        <t xml:space="preserve">Khaldia Branch</t>
      </text>
    </comment>
    <comment authorId="0" ref="B10">
      <text>
        <t xml:space="preserve">Khaldiyah Branch</t>
      </text>
    </comment>
    <comment authorId="0" ref="B8">
      <text>
        <t xml:space="preserve">Emaar Branch</t>
      </text>
    </comment>
    <comment authorId="0" ref="B6">
      <text>
        <t xml:space="preserve">Yamamah Branch</t>
      </text>
    </comment>
    <comment authorId="0" ref="B4">
      <text>
        <t xml:space="preserve">Le Prestige Branch</t>
      </text>
    </comment>
    <comment authorId="0" ref="B35">
      <text>
        <t xml:space="preserve">Zahra Branch</t>
      </text>
    </comment>
    <comment authorId="0" ref="B2">
      <text>
        <t xml:space="preserve">Rawdah Branch</t>
      </text>
    </comment>
    <comment authorId="0" ref="B33">
      <text>
        <t xml:space="preserve">Al Shatie Branch</t>
      </text>
    </comment>
    <comment authorId="0" ref="B31">
      <text>
        <t xml:space="preserve">Al Shatie Branch</t>
      </text>
    </comment>
    <comment authorId="0" ref="B29">
      <text>
        <t xml:space="preserve">Al Nahda</t>
      </text>
    </comment>
    <comment authorId="0" ref="B27">
      <text>
        <t xml:space="preserve">Al Naeem
</t>
      </text>
    </comment>
    <comment authorId="0" ref="B25">
      <text>
        <t xml:space="preserve">AL Zahra</t>
      </text>
    </comment>
    <comment authorId="0" ref="B23">
      <text>
        <t xml:space="preserve">Rawdah Branch</t>
      </text>
    </comment>
    <comment authorId="0" ref="B21">
      <text>
        <t xml:space="preserve">Hira St Branch</t>
      </text>
    </comment>
    <comment authorId="0" ref="B19">
      <text>
        <t xml:space="preserve">Trio Branch</t>
      </text>
    </comment>
    <comment authorId="0" ref="B17">
      <text>
        <t xml:space="preserve">Tahlia Branch</t>
      </text>
    </comment>
    <comment authorId="0" ref="B15">
      <text>
        <t xml:space="preserve">Rawdah Branch</t>
      </text>
    </comment>
    <comment authorId="0" ref="B13">
      <text>
        <t xml:space="preserve">
Al faisaliayah Branch </t>
      </text>
    </comment>
    <comment authorId="0" ref="B11">
      <text>
        <t xml:space="preserve">Rawdah Branch</t>
      </text>
    </comment>
    <comment authorId="0" ref="E13">
      <text>
        <t xml:space="preserve">No V60 available</t>
      </text>
    </comment>
    <comment authorId="0" ref="B9">
      <text>
        <t xml:space="preserve">Corniche Branch</t>
      </text>
    </comment>
    <comment authorId="0" ref="B7">
      <text>
        <t xml:space="preserve">Zahra Branch</t>
      </text>
    </comment>
    <comment authorId="0" ref="B5">
      <text>
        <t xml:space="preserve">Zahra Branch</t>
      </text>
    </comment>
    <comment authorId="0" ref="B36">
      <text>
        <t xml:space="preserve">Salama Branch
</t>
      </text>
    </comment>
    <comment authorId="0" ref="B3">
      <text>
        <t xml:space="preserve">Nahdah Branch</t>
      </text>
    </comment>
  </commentList>
</comments>
</file>

<file path=xl/sharedStrings.xml><?xml version="1.0" encoding="utf-8"?>
<sst xmlns="http://schemas.openxmlformats.org/spreadsheetml/2006/main" count="205" uniqueCount="113">
  <si>
    <t>City</t>
  </si>
  <si>
    <t>Café</t>
  </si>
  <si>
    <t>Average</t>
  </si>
  <si>
    <t>Best Overall</t>
  </si>
  <si>
    <t>Best Coffee</t>
  </si>
  <si>
    <t>Best Desserts</t>
  </si>
  <si>
    <t>Best for Social</t>
  </si>
  <si>
    <t>Best for Work</t>
  </si>
  <si>
    <t>Best Value</t>
  </si>
  <si>
    <t>Averages:</t>
  </si>
  <si>
    <t>Chestnut Bakery</t>
  </si>
  <si>
    <t>Cup and Couch</t>
  </si>
  <si>
    <t>Gathering</t>
  </si>
  <si>
    <t>جوار</t>
  </si>
  <si>
    <t>Mellow</t>
  </si>
  <si>
    <t>Meraki Artisian</t>
  </si>
  <si>
    <t>m Bakery</t>
  </si>
  <si>
    <t>Brew 92</t>
  </si>
  <si>
    <t>1/2 M</t>
  </si>
  <si>
    <t>Jeddah</t>
  </si>
  <si>
    <t>Meraki Artisan</t>
  </si>
  <si>
    <t>Ash</t>
  </si>
  <si>
    <t>Basic</t>
  </si>
  <si>
    <t>Medd</t>
  </si>
  <si>
    <t>Goodhood 2</t>
  </si>
  <si>
    <t>Utopia</t>
  </si>
  <si>
    <t>Goodhood</t>
  </si>
  <si>
    <t>Red Mug</t>
  </si>
  <si>
    <t>Bakery Bar</t>
  </si>
  <si>
    <t>Together</t>
  </si>
  <si>
    <t>J blends</t>
  </si>
  <si>
    <t>Will</t>
  </si>
  <si>
    <t>Urth</t>
  </si>
  <si>
    <t>Raksha</t>
  </si>
  <si>
    <t>Boho</t>
  </si>
  <si>
    <t>95 Celcius</t>
  </si>
  <si>
    <t>Starbucks Reserve</t>
  </si>
  <si>
    <t>Aitch</t>
  </si>
  <si>
    <t>Kiora</t>
  </si>
  <si>
    <t>Hoot coffee house</t>
  </si>
  <si>
    <t>Camel Step</t>
  </si>
  <si>
    <t xml:space="preserve">1/2 M </t>
  </si>
  <si>
    <t>Tim Hortons</t>
  </si>
  <si>
    <t>Starbucks</t>
  </si>
  <si>
    <t>Kim's coffee</t>
  </si>
  <si>
    <t>1/15 Neighborhood café</t>
  </si>
  <si>
    <t>Riyadh</t>
  </si>
  <si>
    <t>Alchemy</t>
  </si>
  <si>
    <t>Las</t>
  </si>
  <si>
    <t>Times Visited</t>
  </si>
  <si>
    <t>Name</t>
  </si>
  <si>
    <t>Location</t>
  </si>
  <si>
    <t>Aesthetic / Seating</t>
  </si>
  <si>
    <t>Coffee Quality</t>
  </si>
  <si>
    <t>Desserts</t>
  </si>
  <si>
    <t>Amenities / Service</t>
  </si>
  <si>
    <t>Price Range (Lower-Higher)</t>
  </si>
  <si>
    <t>Price to Quality</t>
  </si>
  <si>
    <t>Notes</t>
  </si>
  <si>
    <t>Very solid, great staff and service. Possibly the best place to work if you don't mind it being a bit busy. Decent deserts too.</t>
  </si>
  <si>
    <t>Good atmosphere but mid everfything else, would only go for convience sake</t>
  </si>
  <si>
    <t>Pricey but also a really nice stay and extensive menu. good for brunch with the family</t>
  </si>
  <si>
    <t>Meh, it's exactly what you think it is. mid coffee but convinent as it is everywhere</t>
  </si>
  <si>
    <t>Having now gone 6 times, this place has become where I source most of my coffee as it has the best selection of different coffees, great staff, a decent rotation of different coffees from time to time. decent merch too</t>
  </si>
  <si>
    <t>Instagramable and good with friends, has a paino lol</t>
  </si>
  <si>
    <t>Meh (chain coffee convient but not great), good desserts and food though</t>
  </si>
  <si>
    <t>Meh, slightly better than chain coffee, pretty subpar everything else. Slow service</t>
  </si>
  <si>
    <t>A fairly decent coffee shop with the upper flour being great for work and lower for great for socialising. Decent coffee but generic and mediocre desserts.</t>
  </si>
  <si>
    <t>Far better than basic, a great place to work</t>
  </si>
  <si>
    <t>Really good coffee quality for value, not the ideal place to sit</t>
  </si>
  <si>
    <t>very aesthetic but quite noise since it is next to mall and gets really busy. It honestly isnt any better than any other starbucks</t>
  </si>
  <si>
    <t>Really well decorated and artistic, that is about all it has going for it. Desserts were okay but generic.</t>
  </si>
  <si>
    <t>The best place to bring a large (3+) group though can be on less intamite side</t>
  </si>
  <si>
    <t>Very boojie place that survives mainly off appeal to hype and greate location. alright coffee, good food, alright desert</t>
  </si>
  <si>
    <t>Pretty nice staff though very busy place, only optimal for socialising, very noisy</t>
  </si>
  <si>
    <t>Great services, though fairly small but trendy shop</t>
  </si>
  <si>
    <t>Fairly good coffee and great all rounder. What starbucks wishes they could be</t>
  </si>
  <si>
    <t>Really nice aethesthetic seating though little versatility, Had a very nice Shop tho</t>
  </si>
  <si>
    <t>Very Restuarant like, though decent coffee and service</t>
  </si>
  <si>
    <t>Cookie shop first, Cafe second. Though as a baker that catered parties specfically with cookies the cookies were good but definitely not great. could use more vireity and creativity with cookie styles and cookie based desserts if you only are going to serve cookies.</t>
  </si>
  <si>
    <t>Incredible service and desserts could possibly use more sources of entertainment and minimum spend limit is slightly troubling</t>
  </si>
  <si>
    <t>Good service and staff, and fairly nice coffee, I dont recommend the desserts but they're there if you want them</t>
  </si>
  <si>
    <t>Good service and nice music, fairly good coffee and desserts. Amazing place for small groups or dates</t>
  </si>
  <si>
    <t>A cafe in a prime location with a clear strong financial backing but lacks personality and uniqueness. Cost greatly outway its quality but is able to charge those prices as the location is highend</t>
  </si>
  <si>
    <t xml:space="preserve">A coffee shop I frequneted greatly as the price to quality was essentially unbeatable. A nice home feeling cafe hidden away from the main road with the owner of the shop as the sole barista. </t>
  </si>
  <si>
    <t>A decent cafe that seems good to work in or take breaks in as it is a good alrounder and is in between office buildings</t>
  </si>
  <si>
    <t>A good place for socialising and casual work, really decent savoury food and decent desserts</t>
  </si>
  <si>
    <t>X</t>
  </si>
  <si>
    <t>A nice coffee shop that would be great if you live nearby though cafe mostly focused on the aesthetic and atmosphere they create rather than quality of coffee, desserts and accomodating different kinds of customers (mostly for social)</t>
  </si>
  <si>
    <t>A very vinatage style shop with a lot of focus on the aesthetic and packaging though generally a place for social gathering only</t>
  </si>
  <si>
    <t xml:space="preserve">The literal best place to work as well as to social I have seen in Jeddah, quite rooms, outdoor spaces, </t>
  </si>
  <si>
    <t>My favourite cafe from the UK and I trusted in it to take my mom and it absolutely did not disappoint. It has been A very long time since I have enjoyed a dessert as much as I did this. A little more of a restarant vibe  and more socially targeted seating.</t>
  </si>
  <si>
    <t>An up and coming cafe currently still on the soft launch phase but have very passionate baristas and owners that are always in store</t>
  </si>
  <si>
    <t>A finally genuinely great selection of different coffees in a city where every coffee shop only has is a medium roast, natural process. Coffee was good enough for me to bag a bag on the spot to take home</t>
  </si>
  <si>
    <t>A really nice home feeling cafe that has really good food more than decent coffee and it the kind of place you would want to bring your family</t>
  </si>
  <si>
    <t>Overall visits</t>
  </si>
  <si>
    <t>Overall #</t>
  </si>
  <si>
    <t>Trying soon (JED)</t>
  </si>
  <si>
    <t>Namq</t>
  </si>
  <si>
    <t>Daily Edition</t>
  </si>
  <si>
    <t>Pals</t>
  </si>
  <si>
    <t>Alert</t>
  </si>
  <si>
    <t>Hemi</t>
  </si>
  <si>
    <t>Kiffa</t>
  </si>
  <si>
    <t>Sort</t>
  </si>
  <si>
    <t>Muta's</t>
  </si>
  <si>
    <t>Urban</t>
  </si>
  <si>
    <t>Monde</t>
  </si>
  <si>
    <t>Atlas</t>
  </si>
  <si>
    <t>Hawand</t>
  </si>
  <si>
    <t>Blue apron</t>
  </si>
  <si>
    <t>Thuluth</t>
  </si>
  <si>
    <t>Paulina Bakery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</si>
</sst>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2.0"/>
      <color rgb="FF000000"/>
      <name val="Calibri"/>
      <scheme val="minor"/>
    </font>
    <font>
      <color theme="1"/>
      <name val="Calibri"/>
      <scheme val="minor"/>
    </font>
    <font>
      <b/>
      <sz val="12.0"/>
      <color theme="1"/>
      <name val="Calibri"/>
      <scheme val="minor"/>
    </font>
    <font>
      <b/>
      <sz val="11.0"/>
      <color theme="0"/>
      <name val="Roboto"/>
    </font>
    <font/>
    <font>
      <b/>
      <sz val="11.0"/>
      <color rgb="FFFFFFFF"/>
      <name val="Roboto"/>
    </font>
    <font>
      <sz val="11.0"/>
      <color theme="1"/>
      <name val="Roboto"/>
    </font>
    <font>
      <b/>
      <sz val="11.0"/>
      <color rgb="FFDFAD9D"/>
      <name val="Roboto"/>
    </font>
    <font>
      <b/>
      <sz val="11.0"/>
      <color theme="1"/>
      <name val="Roboto"/>
    </font>
    <font>
      <sz val="11.0"/>
      <color theme="1"/>
      <name val="Calibri"/>
    </font>
    <font>
      <b/>
      <sz val="11.0"/>
      <color rgb="FFE0D69C"/>
      <name val="Roboto"/>
    </font>
    <font>
      <sz val="11.0"/>
      <color rgb="FF000000"/>
      <name val="Roboto"/>
    </font>
    <font>
      <b/>
      <sz val="11.0"/>
      <color rgb="FF000000"/>
      <name val="Roboto"/>
    </font>
    <font>
      <b/>
      <sz val="10.0"/>
      <color theme="0"/>
      <name val="Roboto"/>
    </font>
    <font>
      <b/>
      <sz val="11.0"/>
      <color theme="1"/>
      <name val="Calibri"/>
    </font>
  </fonts>
  <fills count="8">
    <fill>
      <patternFill patternType="none"/>
    </fill>
    <fill>
      <patternFill patternType="lightGray"/>
    </fill>
    <fill>
      <patternFill patternType="solid">
        <fgColor rgb="FF946430"/>
        <bgColor rgb="FF946430"/>
      </patternFill>
    </fill>
    <fill>
      <patternFill patternType="solid">
        <fgColor rgb="FF000000"/>
        <bgColor rgb="FF000000"/>
      </patternFill>
    </fill>
    <fill>
      <patternFill patternType="solid">
        <fgColor rgb="FFDFC09D"/>
        <bgColor rgb="FFDFC09D"/>
      </patternFill>
    </fill>
    <fill>
      <patternFill patternType="solid">
        <fgColor rgb="FFD3A97B"/>
        <bgColor rgb="FFD3A97B"/>
      </patternFill>
    </fill>
    <fill>
      <patternFill patternType="solid">
        <fgColor rgb="FF666666"/>
        <bgColor rgb="FF666666"/>
      </patternFill>
    </fill>
    <fill>
      <patternFill patternType="solid">
        <fgColor rgb="FFB7B7B7"/>
        <bgColor rgb="FFB7B7B7"/>
      </patternFill>
    </fill>
  </fills>
  <borders count="36">
    <border/>
    <border>
      <left style="thin">
        <color rgb="FF000000"/>
      </left>
      <right style="thin">
        <color rgb="FF000000"/>
      </right>
      <top style="thin">
        <color rgb="FF000000"/>
      </top>
      <bottom style="medium">
        <color rgb="FF000000"/>
      </bottom>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ck">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thick">
        <color rgb="FF000000"/>
      </bottom>
    </border>
    <border>
      <left style="thin">
        <color rgb="FF000000"/>
      </left>
      <right/>
      <top style="medium">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bottom style="thin">
        <color rgb="FF000000"/>
      </bottom>
    </border>
    <border>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ck">
        <color rgb="FF000000"/>
      </left>
      <right style="thin">
        <color rgb="FF000000"/>
      </right>
    </border>
    <border>
      <left style="thin">
        <color rgb="FF000000"/>
      </left>
      <bottom style="thick">
        <color rgb="FF000000"/>
      </bottom>
    </border>
    <border>
      <right style="thin">
        <color rgb="FF000000"/>
      </right>
      <bottom style="thick">
        <color rgb="FF000000"/>
      </bottom>
    </border>
    <border>
      <left style="thin">
        <color rgb="FF000000"/>
      </left>
      <right style="thin">
        <color rgb="FF000000"/>
      </right>
      <bottom style="thick">
        <color rgb="FF000000"/>
      </bottom>
    </border>
    <border>
      <left/>
      <right style="thick">
        <color rgb="FF000000"/>
      </right>
      <bottom style="thick">
        <color rgb="FF000000"/>
      </bottom>
    </border>
    <border>
      <right style="thick">
        <color rgb="FF000000"/>
      </right>
      <bottom style="thick">
        <color rgb="FF000000"/>
      </bottom>
    </border>
    <border>
      <right style="thick">
        <color rgb="FF000000"/>
      </right>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1" fillId="2" fontId="3" numFmtId="0" xfId="0" applyAlignment="1" applyBorder="1" applyFont="1">
      <alignment readingOrder="0"/>
    </xf>
    <xf borderId="0" fillId="4" fontId="2" numFmtId="0" xfId="0" applyAlignment="1" applyFill="1" applyFont="1">
      <alignment readingOrder="0"/>
    </xf>
    <xf borderId="0" fillId="4" fontId="2" numFmtId="2" xfId="0" applyAlignment="1" applyFont="1" applyNumberFormat="1">
      <alignment readingOrder="0"/>
    </xf>
    <xf borderId="2" fillId="4" fontId="2" numFmtId="0" xfId="0" applyAlignment="1" applyBorder="1" applyFont="1">
      <alignment readingOrder="0"/>
    </xf>
    <xf borderId="3" fillId="4" fontId="2" numFmtId="0" xfId="0" applyAlignment="1" applyBorder="1" applyFont="1">
      <alignment readingOrder="0"/>
    </xf>
    <xf borderId="2" fillId="4" fontId="2" numFmtId="0" xfId="0" applyAlignment="1" applyBorder="1" applyFont="1">
      <alignment horizontal="left" readingOrder="0"/>
    </xf>
    <xf borderId="4" fillId="4" fontId="2" numFmtId="0" xfId="0" applyAlignment="1" applyBorder="1" applyFont="1">
      <alignment readingOrder="0"/>
    </xf>
    <xf borderId="3" fillId="4" fontId="2" numFmtId="0" xfId="0" applyAlignment="1" applyBorder="1" applyFont="1">
      <alignment horizontal="left" readingOrder="0"/>
    </xf>
    <xf borderId="5" fillId="4" fontId="2" numFmtId="0" xfId="0" applyAlignment="1" applyBorder="1" applyFont="1">
      <alignment readingOrder="0"/>
    </xf>
    <xf borderId="6" fillId="4" fontId="2" numFmtId="0" xfId="0" applyAlignment="1" applyBorder="1" applyFont="1">
      <alignment readingOrder="0"/>
    </xf>
    <xf borderId="0" fillId="4" fontId="2" numFmtId="2" xfId="0" applyFont="1" applyNumberFormat="1"/>
    <xf borderId="0" fillId="4" fontId="2" numFmtId="0" xfId="0" applyAlignment="1" applyFont="1">
      <alignment horizontal="left" readingOrder="0"/>
    </xf>
    <xf borderId="0" fillId="4" fontId="2" numFmtId="0" xfId="0" applyFont="1"/>
    <xf borderId="0" fillId="0" fontId="2" numFmtId="0" xfId="0" applyFont="1"/>
    <xf borderId="0" fillId="0" fontId="2" numFmtId="2" xfId="0" applyFont="1" applyNumberFormat="1"/>
    <xf borderId="7" fillId="2" fontId="4" numFmtId="0" xfId="0" applyAlignment="1" applyBorder="1" applyFont="1">
      <alignment horizontal="center" shrinkToFit="0" vertical="center" wrapText="1"/>
    </xf>
    <xf borderId="8" fillId="2" fontId="4" numFmtId="0" xfId="0" applyAlignment="1" applyBorder="1" applyFont="1">
      <alignment horizontal="center" vertical="center"/>
    </xf>
    <xf borderId="8" fillId="2" fontId="4" numFmtId="0" xfId="0" applyAlignment="1" applyBorder="1" applyFont="1">
      <alignment horizontal="center" shrinkToFit="0" vertical="center" wrapText="1"/>
    </xf>
    <xf borderId="9" fillId="2" fontId="4" numFmtId="0" xfId="0" applyAlignment="1" applyBorder="1" applyFont="1">
      <alignment horizontal="center" shrinkToFit="0" vertical="center" wrapText="1"/>
    </xf>
    <xf borderId="10" fillId="2" fontId="4" numFmtId="0" xfId="0" applyAlignment="1" applyBorder="1" applyFont="1">
      <alignment horizontal="center" vertical="center"/>
    </xf>
    <xf borderId="11" fillId="2" fontId="4" numFmtId="0" xfId="0" applyAlignment="1" applyBorder="1" applyFont="1">
      <alignment horizontal="center" shrinkToFit="0" vertical="center" wrapText="1"/>
    </xf>
    <xf borderId="12" fillId="0" fontId="5" numFmtId="0" xfId="0" applyBorder="1" applyFont="1"/>
    <xf borderId="10" fillId="2" fontId="4" numFmtId="0" xfId="0" applyAlignment="1" applyBorder="1" applyFont="1">
      <alignment horizontal="center" shrinkToFit="0" vertical="center" wrapText="1"/>
    </xf>
    <xf borderId="10" fillId="2" fontId="6"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13" fillId="4" fontId="7" numFmtId="0" xfId="0" applyAlignment="1" applyBorder="1" applyFont="1">
      <alignment readingOrder="0"/>
    </xf>
    <xf borderId="14" fillId="2" fontId="6" numFmtId="0" xfId="0" applyAlignment="1" applyBorder="1" applyFont="1">
      <alignment readingOrder="0"/>
    </xf>
    <xf borderId="14" fillId="2" fontId="8" numFmtId="0" xfId="0" applyAlignment="1" applyBorder="1" applyFont="1">
      <alignment horizontal="center"/>
    </xf>
    <xf borderId="14" fillId="4" fontId="9" numFmtId="0" xfId="0" applyAlignment="1" applyBorder="1" applyFont="1">
      <alignment readingOrder="0"/>
    </xf>
    <xf borderId="14" fillId="4" fontId="9" numFmtId="164" xfId="0" applyAlignment="1" applyBorder="1" applyFont="1" applyNumberFormat="1">
      <alignment readingOrder="0"/>
    </xf>
    <xf borderId="14" fillId="2" fontId="6" numFmtId="2" xfId="0" applyAlignment="1" applyBorder="1" applyFont="1" applyNumberFormat="1">
      <alignment horizontal="center"/>
    </xf>
    <xf borderId="15" fillId="4" fontId="9" numFmtId="0" xfId="0" applyBorder="1" applyFont="1"/>
    <xf borderId="16" fillId="4" fontId="9" numFmtId="0" xfId="0" applyAlignment="1" applyBorder="1" applyFont="1">
      <alignment horizontal="right"/>
    </xf>
    <xf borderId="14" fillId="4" fontId="9" numFmtId="164" xfId="0" applyBorder="1" applyFont="1" applyNumberFormat="1"/>
    <xf borderId="14" fillId="4" fontId="7" numFmtId="0" xfId="0" applyAlignment="1" applyBorder="1" applyFont="1">
      <alignment readingOrder="0"/>
    </xf>
    <xf borderId="0" fillId="0" fontId="7" numFmtId="0" xfId="0" applyFont="1"/>
    <xf borderId="17" fillId="5" fontId="7" numFmtId="0" xfId="0" applyAlignment="1" applyBorder="1" applyFill="1" applyFont="1">
      <alignment readingOrder="0"/>
    </xf>
    <xf borderId="17" fillId="2" fontId="4" numFmtId="0" xfId="0" applyBorder="1" applyFont="1"/>
    <xf borderId="17" fillId="2" fontId="8" numFmtId="0" xfId="0" applyAlignment="1" applyBorder="1" applyFont="1">
      <alignment horizontal="center"/>
    </xf>
    <xf borderId="17" fillId="5" fontId="9" numFmtId="164" xfId="0" applyBorder="1" applyFont="1" applyNumberFormat="1"/>
    <xf borderId="17" fillId="5" fontId="9" numFmtId="164" xfId="0" applyAlignment="1" applyBorder="1" applyFont="1" applyNumberFormat="1">
      <alignment readingOrder="0"/>
    </xf>
    <xf borderId="17" fillId="5" fontId="9" numFmtId="164" xfId="0" applyAlignment="1" applyBorder="1" applyFont="1" applyNumberFormat="1">
      <alignment horizontal="right"/>
    </xf>
    <xf borderId="17" fillId="2" fontId="6" numFmtId="2" xfId="0" applyAlignment="1" applyBorder="1" applyFont="1" applyNumberFormat="1">
      <alignment horizontal="center"/>
    </xf>
    <xf borderId="18" fillId="5" fontId="9" numFmtId="0" xfId="0" applyBorder="1" applyFont="1"/>
    <xf borderId="19" fillId="5" fontId="9" numFmtId="0" xfId="0" applyAlignment="1" applyBorder="1" applyFont="1">
      <alignment horizontal="right"/>
    </xf>
    <xf borderId="17" fillId="5" fontId="7" numFmtId="0" xfId="0" applyBorder="1" applyFont="1"/>
    <xf borderId="17" fillId="4" fontId="7" numFmtId="0" xfId="0" applyBorder="1" applyFont="1"/>
    <xf borderId="17" fillId="4" fontId="9" numFmtId="164" xfId="0" applyBorder="1" applyFont="1" applyNumberFormat="1"/>
    <xf borderId="17" fillId="4" fontId="9" numFmtId="0" xfId="0" applyBorder="1" applyFont="1"/>
    <xf borderId="17" fillId="4" fontId="9" numFmtId="0" xfId="0" applyAlignment="1" applyBorder="1" applyFont="1">
      <alignment readingOrder="0"/>
    </xf>
    <xf borderId="18" fillId="4" fontId="9" numFmtId="0" xfId="0" applyBorder="1" applyFont="1"/>
    <xf borderId="19" fillId="4" fontId="9" numFmtId="0" xfId="0" applyAlignment="1" applyBorder="1" applyFont="1">
      <alignment horizontal="right"/>
    </xf>
    <xf borderId="17" fillId="4" fontId="7" numFmtId="0" xfId="0" applyAlignment="1" applyBorder="1" applyFont="1">
      <alignment readingOrder="0"/>
    </xf>
    <xf borderId="17" fillId="5" fontId="9" numFmtId="0" xfId="0" applyBorder="1" applyFont="1"/>
    <xf borderId="17" fillId="2" fontId="6" numFmtId="0" xfId="0" applyAlignment="1" applyBorder="1" applyFont="1">
      <alignment readingOrder="0"/>
    </xf>
    <xf borderId="17" fillId="4" fontId="9" numFmtId="164" xfId="0" applyAlignment="1" applyBorder="1" applyFont="1" applyNumberFormat="1">
      <alignment readingOrder="0"/>
    </xf>
    <xf borderId="0" fillId="0" fontId="10" numFmtId="0" xfId="0" applyFont="1"/>
    <xf borderId="17" fillId="2" fontId="11" numFmtId="0" xfId="0" applyAlignment="1" applyBorder="1" applyFont="1">
      <alignment horizontal="center"/>
    </xf>
    <xf borderId="17" fillId="2" fontId="8" numFmtId="0" xfId="0" applyAlignment="1" applyBorder="1" applyFont="1">
      <alignment horizontal="center" readingOrder="0"/>
    </xf>
    <xf borderId="17" fillId="5" fontId="9" numFmtId="0" xfId="0" applyAlignment="1" applyBorder="1" applyFont="1">
      <alignment readingOrder="0"/>
    </xf>
    <xf borderId="18" fillId="5" fontId="9" numFmtId="0" xfId="0" applyAlignment="1" applyBorder="1" applyFont="1">
      <alignment readingOrder="0"/>
    </xf>
    <xf borderId="19" fillId="5" fontId="9" numFmtId="0" xfId="0" applyAlignment="1" applyBorder="1" applyFont="1">
      <alignment horizontal="right" readingOrder="0"/>
    </xf>
    <xf borderId="17" fillId="4" fontId="9" numFmtId="164" xfId="0" applyAlignment="1" applyBorder="1" applyFont="1" applyNumberFormat="1">
      <alignment horizontal="right" readingOrder="0"/>
    </xf>
    <xf borderId="18" fillId="4" fontId="9" numFmtId="0" xfId="0" applyAlignment="1" applyBorder="1" applyFont="1">
      <alignment readingOrder="0"/>
    </xf>
    <xf borderId="19" fillId="4" fontId="9" numFmtId="0" xfId="0" applyAlignment="1" applyBorder="1" applyFont="1">
      <alignment horizontal="right" readingOrder="0"/>
    </xf>
    <xf borderId="2" fillId="4" fontId="9" numFmtId="164" xfId="0" applyAlignment="1" applyBorder="1" applyFont="1" applyNumberFormat="1">
      <alignment readingOrder="0"/>
    </xf>
    <xf borderId="3" fillId="4" fontId="9" numFmtId="0" xfId="0" applyAlignment="1" applyBorder="1" applyFont="1">
      <alignment readingOrder="0"/>
    </xf>
    <xf borderId="4" fillId="4" fontId="9" numFmtId="0" xfId="0" applyAlignment="1" applyBorder="1" applyFont="1">
      <alignment horizontal="right" readingOrder="0"/>
    </xf>
    <xf borderId="0" fillId="4" fontId="7" numFmtId="0" xfId="0" applyAlignment="1" applyFont="1">
      <alignment readingOrder="0"/>
    </xf>
    <xf borderId="20" fillId="2" fontId="6" numFmtId="2" xfId="0" applyAlignment="1" applyBorder="1" applyFont="1" applyNumberFormat="1">
      <alignment horizontal="center"/>
    </xf>
    <xf borderId="21" fillId="5" fontId="9" numFmtId="0" xfId="0" applyAlignment="1" applyBorder="1" applyFont="1">
      <alignment readingOrder="0"/>
    </xf>
    <xf borderId="22" fillId="5" fontId="9" numFmtId="0" xfId="0" applyAlignment="1" applyBorder="1" applyFont="1">
      <alignment horizontal="right" readingOrder="0"/>
    </xf>
    <xf borderId="23" fillId="5" fontId="7" numFmtId="0" xfId="0" applyAlignment="1" applyBorder="1" applyFont="1">
      <alignment readingOrder="0"/>
    </xf>
    <xf borderId="20" fillId="4" fontId="9" numFmtId="0" xfId="0" applyAlignment="1" applyBorder="1" applyFont="1">
      <alignment readingOrder="0"/>
    </xf>
    <xf borderId="24" fillId="4" fontId="9" numFmtId="0" xfId="0" applyAlignment="1" applyBorder="1" applyFont="1">
      <alignment horizontal="right" readingOrder="0"/>
    </xf>
    <xf borderId="17" fillId="5" fontId="12" numFmtId="0" xfId="0" applyAlignment="1" applyBorder="1" applyFont="1">
      <alignment readingOrder="0"/>
    </xf>
    <xf borderId="17" fillId="5" fontId="9" numFmtId="0" xfId="0" applyAlignment="1" applyBorder="1" applyFont="1">
      <alignment horizontal="right" readingOrder="0"/>
    </xf>
    <xf borderId="17" fillId="4" fontId="12" numFmtId="0" xfId="0" applyAlignment="1" applyBorder="1" applyFont="1">
      <alignment readingOrder="0" vertical="center"/>
    </xf>
    <xf borderId="17" fillId="2" fontId="6" numFmtId="0" xfId="0" applyAlignment="1" applyBorder="1" applyFont="1">
      <alignment horizontal="left" readingOrder="0" vertical="center"/>
    </xf>
    <xf borderId="17" fillId="4" fontId="13" numFmtId="164" xfId="0" applyAlignment="1" applyBorder="1" applyFont="1" applyNumberFormat="1">
      <alignment horizontal="right" readingOrder="0" vertical="center"/>
    </xf>
    <xf borderId="20" fillId="2" fontId="6" numFmtId="2" xfId="0" applyAlignment="1" applyBorder="1" applyFont="1" applyNumberFormat="1">
      <alignment horizontal="center" vertical="center"/>
    </xf>
    <xf borderId="21" fillId="4" fontId="13" numFmtId="1" xfId="0" applyAlignment="1" applyBorder="1" applyFont="1" applyNumberFormat="1">
      <alignment horizontal="right" readingOrder="0" vertical="center"/>
    </xf>
    <xf borderId="22" fillId="4" fontId="13" numFmtId="1" xfId="0" applyAlignment="1" applyBorder="1" applyFont="1" applyNumberFormat="1">
      <alignment horizontal="right" readingOrder="0" vertical="center"/>
    </xf>
    <xf borderId="24" fillId="4" fontId="9" numFmtId="164" xfId="0" applyBorder="1" applyFont="1" applyNumberFormat="1"/>
    <xf borderId="17" fillId="4" fontId="12" numFmtId="0" xfId="0" applyAlignment="1" applyBorder="1" applyFont="1">
      <alignment readingOrder="0"/>
    </xf>
    <xf borderId="17" fillId="5" fontId="12" numFmtId="0" xfId="0" applyAlignment="1" applyBorder="1" applyFont="1">
      <alignment readingOrder="0" vertical="center"/>
    </xf>
    <xf borderId="17" fillId="5" fontId="13" numFmtId="164" xfId="0" applyAlignment="1" applyBorder="1" applyFont="1" applyNumberFormat="1">
      <alignment horizontal="right" readingOrder="0" vertical="center"/>
    </xf>
    <xf borderId="20" fillId="5" fontId="13" numFmtId="1" xfId="0" applyAlignment="1" applyBorder="1" applyFont="1" applyNumberFormat="1">
      <alignment horizontal="right" readingOrder="0" vertical="center"/>
    </xf>
    <xf borderId="24" fillId="5" fontId="13" numFmtId="1" xfId="0" applyAlignment="1" applyBorder="1" applyFont="1" applyNumberFormat="1">
      <alignment horizontal="right" readingOrder="0" vertical="center"/>
    </xf>
    <xf borderId="24" fillId="5" fontId="9" numFmtId="164" xfId="0" applyBorder="1" applyFont="1" applyNumberFormat="1"/>
    <xf borderId="20" fillId="4" fontId="13" numFmtId="1" xfId="0" applyAlignment="1" applyBorder="1" applyFont="1" applyNumberFormat="1">
      <alignment horizontal="right" readingOrder="0" vertical="center"/>
    </xf>
    <xf borderId="24" fillId="4" fontId="13" numFmtId="1" xfId="0" applyAlignment="1" applyBorder="1" applyFont="1" applyNumberFormat="1">
      <alignment horizontal="right" readingOrder="0" vertical="center"/>
    </xf>
    <xf borderId="4" fillId="5" fontId="12" numFmtId="0" xfId="0" applyAlignment="1" applyBorder="1" applyFont="1">
      <alignment readingOrder="0" vertical="center"/>
    </xf>
    <xf borderId="14" fillId="2" fontId="6" numFmtId="0" xfId="0" applyAlignment="1" applyBorder="1" applyFont="1">
      <alignment horizontal="left" readingOrder="0" vertical="center"/>
    </xf>
    <xf borderId="2" fillId="5" fontId="13" numFmtId="164" xfId="0" applyAlignment="1" applyBorder="1" applyFont="1" applyNumberFormat="1">
      <alignment horizontal="right" readingOrder="0" vertical="center"/>
    </xf>
    <xf borderId="3" fillId="5" fontId="13" numFmtId="1" xfId="0" applyAlignment="1" applyBorder="1" applyFont="1" applyNumberFormat="1">
      <alignment horizontal="right" readingOrder="0" vertical="center"/>
    </xf>
    <xf borderId="4" fillId="5" fontId="13" numFmtId="1" xfId="0" applyAlignment="1" applyBorder="1" applyFont="1" applyNumberFormat="1">
      <alignment horizontal="right" readingOrder="0" vertical="center"/>
    </xf>
    <xf borderId="0" fillId="5" fontId="12" numFmtId="0" xfId="0" applyAlignment="1" applyFont="1">
      <alignment readingOrder="0"/>
    </xf>
    <xf borderId="17" fillId="2" fontId="6" numFmtId="0" xfId="0" applyAlignment="1" applyBorder="1" applyFont="1">
      <alignment horizontal="left" readingOrder="0" vertical="center"/>
    </xf>
    <xf borderId="17" fillId="2" fontId="6" numFmtId="2" xfId="0" applyAlignment="1" applyBorder="1" applyFont="1" applyNumberFormat="1">
      <alignment horizontal="center" vertical="center"/>
    </xf>
    <xf borderId="25" fillId="4" fontId="13" numFmtId="1" xfId="0" applyAlignment="1" applyBorder="1" applyFont="1" applyNumberFormat="1">
      <alignment horizontal="right" readingOrder="0" vertical="center"/>
    </xf>
    <xf borderId="14" fillId="5" fontId="7" numFmtId="0" xfId="0" applyAlignment="1" applyBorder="1" applyFont="1">
      <alignment readingOrder="0"/>
    </xf>
    <xf borderId="26" fillId="2" fontId="6" numFmtId="2" xfId="0" applyAlignment="1" applyBorder="1" applyFont="1" applyNumberFormat="1">
      <alignment horizontal="center"/>
    </xf>
    <xf borderId="27" fillId="5" fontId="9" numFmtId="0" xfId="0" applyBorder="1" applyFont="1"/>
    <xf borderId="28" fillId="5" fontId="9" numFmtId="0" xfId="0" applyAlignment="1" applyBorder="1" applyFont="1">
      <alignment horizontal="right"/>
    </xf>
    <xf borderId="26" fillId="5" fontId="9" numFmtId="164" xfId="0" applyBorder="1" applyFont="1" applyNumberFormat="1"/>
    <xf borderId="26" fillId="5" fontId="7" numFmtId="0" xfId="0" applyAlignment="1" applyBorder="1" applyFont="1">
      <alignment readingOrder="0"/>
    </xf>
    <xf borderId="25" fillId="5" fontId="13" numFmtId="1" xfId="0" applyAlignment="1" applyBorder="1" applyFont="1" applyNumberFormat="1">
      <alignment horizontal="right" readingOrder="0" vertical="center"/>
    </xf>
    <xf borderId="2" fillId="2" fontId="6" numFmtId="0" xfId="0" applyAlignment="1" applyBorder="1" applyFont="1">
      <alignment horizontal="left" readingOrder="0" vertical="center"/>
    </xf>
    <xf borderId="2" fillId="2" fontId="8" numFmtId="0" xfId="0" applyAlignment="1" applyBorder="1" applyFont="1">
      <alignment horizontal="center" readingOrder="0"/>
    </xf>
    <xf borderId="0" fillId="5" fontId="13" numFmtId="1" xfId="0" applyAlignment="1" applyFont="1" applyNumberFormat="1">
      <alignment horizontal="right" readingOrder="0" vertical="center"/>
    </xf>
    <xf borderId="29" fillId="2" fontId="4" numFmtId="0" xfId="0" applyAlignment="1" applyBorder="1" applyFont="1">
      <alignment vertical="center"/>
    </xf>
    <xf borderId="30" fillId="2" fontId="4" numFmtId="0" xfId="0" applyAlignment="1" applyBorder="1" applyFont="1">
      <alignment horizontal="center" vertical="center"/>
    </xf>
    <xf borderId="31" fillId="0" fontId="5" numFmtId="0" xfId="0" applyBorder="1" applyFont="1"/>
    <xf borderId="32" fillId="2" fontId="4" numFmtId="2" xfId="0" applyAlignment="1" applyBorder="1" applyFont="1" applyNumberFormat="1">
      <alignment horizontal="center" vertical="center"/>
    </xf>
    <xf borderId="32" fillId="2" fontId="4" numFmtId="164" xfId="0" applyAlignment="1" applyBorder="1" applyFont="1" applyNumberFormat="1">
      <alignment horizontal="right" vertical="center"/>
    </xf>
    <xf borderId="33" fillId="2" fontId="7" numFmtId="0" xfId="0" applyBorder="1" applyFont="1"/>
    <xf borderId="34" fillId="2" fontId="4" numFmtId="0" xfId="0" applyAlignment="1" applyBorder="1" applyFont="1">
      <alignment horizontal="center" vertical="center"/>
    </xf>
    <xf borderId="0" fillId="0" fontId="14" numFmtId="0" xfId="0" applyAlignment="1" applyFont="1">
      <alignment horizontal="right" vertical="center"/>
    </xf>
    <xf borderId="35" fillId="2" fontId="6" numFmtId="0" xfId="0" applyAlignment="1" applyBorder="1" applyFont="1">
      <alignment horizontal="center" readingOrder="0" shrinkToFit="0" wrapText="1"/>
    </xf>
    <xf borderId="34" fillId="2" fontId="6" numFmtId="0" xfId="0" applyAlignment="1" applyBorder="1" applyFont="1">
      <alignment horizontal="center"/>
    </xf>
    <xf borderId="17" fillId="6" fontId="15" numFmtId="0" xfId="0" applyAlignment="1" applyBorder="1" applyFill="1" applyFont="1">
      <alignment horizontal="center" readingOrder="0"/>
    </xf>
    <xf borderId="17" fillId="7" fontId="10" numFmtId="0" xfId="0" applyAlignment="1" applyBorder="1" applyFill="1" applyFont="1">
      <alignment readingOrder="0"/>
    </xf>
    <xf borderId="17" fillId="7" fontId="2" numFmtId="0" xfId="0" applyAlignment="1" applyBorder="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86"/>
    <col customWidth="1" min="4" max="4" width="1.86"/>
    <col customWidth="1" min="5" max="5" width="15.43"/>
    <col customWidth="1" min="7" max="7" width="15.57"/>
    <col customWidth="1" min="8" max="8" width="15.86"/>
  </cols>
  <sheetData>
    <row r="1">
      <c r="A1" s="1" t="s">
        <v>0</v>
      </c>
      <c r="B1" s="1" t="s">
        <v>1</v>
      </c>
      <c r="C1" s="1" t="s">
        <v>2</v>
      </c>
      <c r="D1" s="2"/>
      <c r="E1" s="3" t="s">
        <v>3</v>
      </c>
      <c r="F1" s="3" t="s">
        <v>4</v>
      </c>
      <c r="G1" s="3" t="s">
        <v>5</v>
      </c>
      <c r="H1" s="3" t="s">
        <v>6</v>
      </c>
      <c r="I1" s="3" t="s">
        <v>7</v>
      </c>
      <c r="J1" s="3" t="s">
        <v>8</v>
      </c>
    </row>
    <row r="2">
      <c r="A2" s="4"/>
      <c r="B2" s="4" t="s">
        <v>9</v>
      </c>
      <c r="C2" s="5">
        <v>7.633571428571427</v>
      </c>
      <c r="D2" s="2"/>
      <c r="E2" s="6" t="s">
        <v>10</v>
      </c>
      <c r="F2" s="7" t="s">
        <v>11</v>
      </c>
      <c r="G2" s="6" t="s">
        <v>10</v>
      </c>
      <c r="H2" s="4" t="s">
        <v>12</v>
      </c>
      <c r="I2" s="8" t="s">
        <v>13</v>
      </c>
      <c r="J2" s="9" t="s">
        <v>14</v>
      </c>
    </row>
    <row r="3">
      <c r="A3" s="4"/>
      <c r="B3" s="4"/>
      <c r="C3" s="4">
        <v>0.0</v>
      </c>
      <c r="D3" s="2"/>
      <c r="E3" s="7" t="str">
        <f>B4</f>
        <v>Meraki Artisan</v>
      </c>
      <c r="F3" s="7" t="s">
        <v>15</v>
      </c>
      <c r="G3" s="6" t="s">
        <v>15</v>
      </c>
      <c r="H3" s="6" t="s">
        <v>16</v>
      </c>
      <c r="I3" s="6" t="s">
        <v>17</v>
      </c>
      <c r="J3" s="9" t="s">
        <v>18</v>
      </c>
    </row>
    <row r="4">
      <c r="A4" s="4" t="s">
        <v>19</v>
      </c>
      <c r="B4" s="4" t="s">
        <v>20</v>
      </c>
      <c r="C4" s="5">
        <v>8.775</v>
      </c>
      <c r="D4" s="2"/>
      <c r="E4" s="10" t="s">
        <v>13</v>
      </c>
      <c r="F4" s="11" t="s">
        <v>21</v>
      </c>
      <c r="G4" s="6" t="s">
        <v>16</v>
      </c>
      <c r="H4" s="12" t="s">
        <v>10</v>
      </c>
      <c r="I4" s="6" t="s">
        <v>22</v>
      </c>
      <c r="J4" s="9" t="s">
        <v>11</v>
      </c>
    </row>
    <row r="5">
      <c r="A5" s="4"/>
      <c r="B5" s="4" t="s">
        <v>13</v>
      </c>
      <c r="C5" s="13">
        <v>8.666666666666666</v>
      </c>
    </row>
    <row r="6">
      <c r="A6" s="4"/>
      <c r="B6" s="4" t="s">
        <v>23</v>
      </c>
      <c r="C6" s="13">
        <v>8.524999999999999</v>
      </c>
    </row>
    <row r="7">
      <c r="A7" s="4"/>
      <c r="B7" s="4" t="s">
        <v>11</v>
      </c>
      <c r="C7" s="13">
        <v>8.5</v>
      </c>
    </row>
    <row r="8">
      <c r="A8" s="4"/>
      <c r="B8" s="4" t="s">
        <v>24</v>
      </c>
      <c r="C8" s="13">
        <v>8.4375</v>
      </c>
    </row>
    <row r="9">
      <c r="A9" s="4"/>
      <c r="B9" s="4" t="s">
        <v>25</v>
      </c>
      <c r="C9" s="13">
        <v>8.4</v>
      </c>
    </row>
    <row r="10">
      <c r="A10" s="4"/>
      <c r="B10" s="4" t="s">
        <v>16</v>
      </c>
      <c r="C10" s="13">
        <v>8.325</v>
      </c>
    </row>
    <row r="11">
      <c r="A11" s="4"/>
      <c r="B11" s="4" t="s">
        <v>26</v>
      </c>
      <c r="C11" s="13">
        <v>8.325</v>
      </c>
    </row>
    <row r="12">
      <c r="A12" s="4"/>
      <c r="B12" s="4" t="s">
        <v>21</v>
      </c>
      <c r="C12" s="13">
        <v>8.200000000000001</v>
      </c>
    </row>
    <row r="13">
      <c r="A13" s="4"/>
      <c r="B13" s="14" t="s">
        <v>14</v>
      </c>
      <c r="C13" s="13">
        <v>8.0</v>
      </c>
    </row>
    <row r="14">
      <c r="A14" s="4"/>
      <c r="B14" s="4">
        <v>966.0</v>
      </c>
      <c r="C14" s="13">
        <v>8.0</v>
      </c>
    </row>
    <row r="15">
      <c r="A15" s="4"/>
      <c r="B15" s="4" t="s">
        <v>27</v>
      </c>
      <c r="C15" s="13">
        <v>7.875</v>
      </c>
    </row>
    <row r="16">
      <c r="A16" s="15"/>
      <c r="B16" s="15" t="s">
        <v>12</v>
      </c>
      <c r="C16" s="13">
        <v>7.875</v>
      </c>
    </row>
    <row r="17">
      <c r="A17" s="15"/>
      <c r="B17" s="15" t="s">
        <v>17</v>
      </c>
      <c r="C17" s="13">
        <v>7.875</v>
      </c>
    </row>
    <row r="18">
      <c r="A18" s="15"/>
      <c r="B18" s="15" t="s">
        <v>28</v>
      </c>
      <c r="C18" s="13">
        <v>7.875</v>
      </c>
    </row>
    <row r="19">
      <c r="A19" s="15"/>
      <c r="B19" s="15" t="s">
        <v>29</v>
      </c>
      <c r="C19" s="13">
        <v>7.833333333333333</v>
      </c>
    </row>
    <row r="20">
      <c r="A20" s="15"/>
      <c r="B20" s="15" t="s">
        <v>30</v>
      </c>
      <c r="C20" s="13">
        <v>7.7625</v>
      </c>
    </row>
    <row r="21">
      <c r="A21" s="15"/>
      <c r="B21" s="15" t="s">
        <v>31</v>
      </c>
      <c r="C21" s="13">
        <v>7.75</v>
      </c>
    </row>
    <row r="22">
      <c r="A22" s="15"/>
      <c r="B22" s="15" t="s">
        <v>32</v>
      </c>
      <c r="C22" s="13">
        <v>7.75</v>
      </c>
    </row>
    <row r="23">
      <c r="A23" s="15"/>
      <c r="B23" s="15" t="s">
        <v>33</v>
      </c>
      <c r="C23" s="13">
        <v>7.75</v>
      </c>
    </row>
    <row r="24">
      <c r="A24" s="15"/>
      <c r="B24" s="15" t="s">
        <v>34</v>
      </c>
      <c r="C24" s="13">
        <v>7.625</v>
      </c>
    </row>
    <row r="25">
      <c r="A25" s="15"/>
      <c r="B25" s="15" t="s">
        <v>35</v>
      </c>
      <c r="C25" s="13">
        <v>7.625</v>
      </c>
    </row>
    <row r="26">
      <c r="A26" s="15"/>
      <c r="B26" s="15" t="s">
        <v>36</v>
      </c>
      <c r="C26" s="13">
        <v>7.5</v>
      </c>
    </row>
    <row r="27">
      <c r="A27" s="15"/>
      <c r="B27" s="15" t="s">
        <v>37</v>
      </c>
      <c r="C27" s="13">
        <v>7.375</v>
      </c>
    </row>
    <row r="28">
      <c r="A28" s="15"/>
      <c r="B28" s="15" t="s">
        <v>22</v>
      </c>
      <c r="C28" s="13">
        <v>7.25</v>
      </c>
    </row>
    <row r="29">
      <c r="A29" s="15"/>
      <c r="B29" s="15" t="s">
        <v>38</v>
      </c>
      <c r="C29" s="13">
        <v>7.0</v>
      </c>
    </row>
    <row r="30">
      <c r="A30" s="15"/>
      <c r="B30" s="15" t="s">
        <v>39</v>
      </c>
      <c r="C30" s="13">
        <v>7.0</v>
      </c>
    </row>
    <row r="31">
      <c r="A31" s="15"/>
      <c r="B31" s="15" t="s">
        <v>40</v>
      </c>
      <c r="C31" s="13">
        <v>7.0</v>
      </c>
    </row>
    <row r="32">
      <c r="A32" s="15"/>
      <c r="B32" s="15" t="s">
        <v>41</v>
      </c>
      <c r="C32" s="13">
        <v>6.875</v>
      </c>
    </row>
    <row r="33">
      <c r="A33" s="15"/>
      <c r="B33" s="15" t="s">
        <v>42</v>
      </c>
      <c r="C33" s="13">
        <v>6.75</v>
      </c>
    </row>
    <row r="34">
      <c r="A34" s="15"/>
      <c r="B34" s="15" t="s">
        <v>43</v>
      </c>
      <c r="C34" s="13">
        <v>6.625</v>
      </c>
    </row>
    <row r="35">
      <c r="A35" s="15"/>
      <c r="B35" s="15" t="s">
        <v>44</v>
      </c>
      <c r="C35" s="13">
        <v>6.125</v>
      </c>
    </row>
    <row r="36">
      <c r="A36" s="15"/>
      <c r="B36" s="15" t="s">
        <v>45</v>
      </c>
      <c r="C36" s="13">
        <v>5.5</v>
      </c>
    </row>
    <row r="37">
      <c r="A37" s="15" t="s">
        <v>46</v>
      </c>
      <c r="B37" s="15" t="s">
        <v>10</v>
      </c>
      <c r="C37" s="13">
        <v>8.75</v>
      </c>
    </row>
    <row r="38">
      <c r="A38" s="15"/>
      <c r="B38" s="15" t="s">
        <v>47</v>
      </c>
      <c r="C38" s="13">
        <v>7.5</v>
      </c>
    </row>
    <row r="39">
      <c r="A39" s="16"/>
      <c r="B39" s="16" t="s">
        <v>48</v>
      </c>
      <c r="C39" s="17">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26.43"/>
    <col customWidth="1" min="3" max="3" width="8.71"/>
    <col customWidth="1" min="4" max="7" width="11.29"/>
    <col customWidth="1" min="8" max="8" width="12.71"/>
    <col customWidth="1" min="9" max="10" width="8.71"/>
    <col customWidth="1" min="11" max="11" width="14.43"/>
    <col customWidth="1" min="12" max="12" width="251.57"/>
    <col customWidth="1" min="13" max="13" width="21.86"/>
    <col customWidth="1" min="14" max="26" width="8.71"/>
  </cols>
  <sheetData>
    <row r="1" ht="30.0" customHeight="1">
      <c r="A1" s="18" t="s">
        <v>49</v>
      </c>
      <c r="B1" s="19" t="s">
        <v>50</v>
      </c>
      <c r="C1" s="19" t="s">
        <v>51</v>
      </c>
      <c r="D1" s="20" t="s">
        <v>52</v>
      </c>
      <c r="E1" s="20" t="s">
        <v>53</v>
      </c>
      <c r="F1" s="20" t="s">
        <v>54</v>
      </c>
      <c r="G1" s="21" t="s">
        <v>55</v>
      </c>
      <c r="H1" s="22" t="s">
        <v>2</v>
      </c>
      <c r="I1" s="23" t="s">
        <v>56</v>
      </c>
      <c r="J1" s="24"/>
      <c r="K1" s="25" t="s">
        <v>57</v>
      </c>
      <c r="L1" s="26" t="s">
        <v>58</v>
      </c>
      <c r="M1" s="27"/>
    </row>
    <row r="2" ht="14.25" customHeight="1">
      <c r="A2" s="28">
        <v>8.0</v>
      </c>
      <c r="B2" s="29" t="s">
        <v>26</v>
      </c>
      <c r="C2" s="30" t="s">
        <v>19</v>
      </c>
      <c r="D2" s="31">
        <v>8.5</v>
      </c>
      <c r="E2" s="32">
        <v>8.0</v>
      </c>
      <c r="F2" s="31">
        <v>7.5</v>
      </c>
      <c r="G2" s="31">
        <v>9.3</v>
      </c>
      <c r="H2" s="33">
        <f t="shared" ref="H2:H37" si="1">AVERAGE(D2:G2)</f>
        <v>8.325</v>
      </c>
      <c r="I2" s="34">
        <v>15.0</v>
      </c>
      <c r="J2" s="35">
        <v>24.0</v>
      </c>
      <c r="K2" s="36">
        <f t="shared" ref="K2:K22" si="2">10-AVERAGE(I2,J2)/E2</f>
        <v>7.5625</v>
      </c>
      <c r="L2" s="37" t="s">
        <v>59</v>
      </c>
      <c r="M2" s="38"/>
    </row>
    <row r="3" ht="14.25" customHeight="1">
      <c r="A3" s="39">
        <v>5.0</v>
      </c>
      <c r="B3" s="40" t="s">
        <v>45</v>
      </c>
      <c r="C3" s="41" t="s">
        <v>19</v>
      </c>
      <c r="D3" s="42">
        <v>6.0</v>
      </c>
      <c r="E3" s="42">
        <v>5.0</v>
      </c>
      <c r="F3" s="43">
        <v>3.0</v>
      </c>
      <c r="G3" s="44">
        <v>8.0</v>
      </c>
      <c r="H3" s="45">
        <f t="shared" si="1"/>
        <v>5.5</v>
      </c>
      <c r="I3" s="46">
        <v>17.0</v>
      </c>
      <c r="J3" s="47">
        <v>25.0</v>
      </c>
      <c r="K3" s="42">
        <f t="shared" si="2"/>
        <v>5.8</v>
      </c>
      <c r="L3" s="48" t="s">
        <v>60</v>
      </c>
      <c r="M3" s="38"/>
    </row>
    <row r="4" ht="14.25" customHeight="1">
      <c r="A4" s="49">
        <v>1.0</v>
      </c>
      <c r="B4" s="40" t="s">
        <v>32</v>
      </c>
      <c r="C4" s="41" t="s">
        <v>19</v>
      </c>
      <c r="D4" s="50">
        <v>8.0</v>
      </c>
      <c r="E4" s="51">
        <v>7.5</v>
      </c>
      <c r="F4" s="52">
        <v>8.5</v>
      </c>
      <c r="G4" s="50">
        <v>7.0</v>
      </c>
      <c r="H4" s="45">
        <f t="shared" si="1"/>
        <v>7.75</v>
      </c>
      <c r="I4" s="53">
        <v>20.0</v>
      </c>
      <c r="J4" s="54">
        <v>28.0</v>
      </c>
      <c r="K4" s="50">
        <f t="shared" si="2"/>
        <v>6.8</v>
      </c>
      <c r="L4" s="55" t="s">
        <v>61</v>
      </c>
      <c r="M4" s="38"/>
    </row>
    <row r="5" ht="14.25" customHeight="1">
      <c r="A5" s="48">
        <v>2.0</v>
      </c>
      <c r="B5" s="40" t="s">
        <v>43</v>
      </c>
      <c r="C5" s="41" t="s">
        <v>19</v>
      </c>
      <c r="D5" s="42">
        <v>7.0</v>
      </c>
      <c r="E5" s="42">
        <v>6.0</v>
      </c>
      <c r="F5" s="42">
        <v>6.0</v>
      </c>
      <c r="G5" s="56">
        <v>7.5</v>
      </c>
      <c r="H5" s="45">
        <f t="shared" si="1"/>
        <v>6.625</v>
      </c>
      <c r="I5" s="46">
        <v>14.0</v>
      </c>
      <c r="J5" s="47">
        <v>23.0</v>
      </c>
      <c r="K5" s="42">
        <f t="shared" si="2"/>
        <v>6.916666667</v>
      </c>
      <c r="L5" s="39" t="s">
        <v>62</v>
      </c>
      <c r="M5" s="38"/>
    </row>
    <row r="6" ht="14.25" customHeight="1">
      <c r="A6" s="55">
        <v>8.0</v>
      </c>
      <c r="B6" s="57" t="s">
        <v>11</v>
      </c>
      <c r="C6" s="41" t="s">
        <v>19</v>
      </c>
      <c r="D6" s="58">
        <v>8.2</v>
      </c>
      <c r="E6" s="50">
        <v>9.0</v>
      </c>
      <c r="F6" s="58">
        <v>8.3</v>
      </c>
      <c r="G6" s="51">
        <v>8.5</v>
      </c>
      <c r="H6" s="45">
        <f t="shared" si="1"/>
        <v>8.5</v>
      </c>
      <c r="I6" s="53">
        <v>16.0</v>
      </c>
      <c r="J6" s="54">
        <v>22.0</v>
      </c>
      <c r="K6" s="50">
        <f t="shared" si="2"/>
        <v>7.888888889</v>
      </c>
      <c r="L6" s="55" t="s">
        <v>63</v>
      </c>
      <c r="M6" s="38"/>
    </row>
    <row r="7" ht="14.25" customHeight="1">
      <c r="A7" s="48">
        <v>1.0</v>
      </c>
      <c r="B7" s="40" t="s">
        <v>39</v>
      </c>
      <c r="C7" s="41" t="s">
        <v>19</v>
      </c>
      <c r="D7" s="42">
        <v>7.0</v>
      </c>
      <c r="E7" s="42">
        <v>7.0</v>
      </c>
      <c r="F7" s="42">
        <v>6.0</v>
      </c>
      <c r="G7" s="42">
        <v>8.0</v>
      </c>
      <c r="H7" s="45">
        <f t="shared" si="1"/>
        <v>7</v>
      </c>
      <c r="I7" s="46">
        <v>16.0</v>
      </c>
      <c r="J7" s="47">
        <v>28.0</v>
      </c>
      <c r="K7" s="42">
        <f t="shared" si="2"/>
        <v>6.857142857</v>
      </c>
      <c r="L7" s="48" t="s">
        <v>64</v>
      </c>
      <c r="M7" s="38"/>
    </row>
    <row r="8" ht="14.25" customHeight="1">
      <c r="A8" s="49">
        <v>2.0</v>
      </c>
      <c r="B8" s="40" t="s">
        <v>42</v>
      </c>
      <c r="C8" s="41" t="s">
        <v>19</v>
      </c>
      <c r="D8" s="50">
        <v>7.0</v>
      </c>
      <c r="E8" s="50">
        <v>6.0</v>
      </c>
      <c r="F8" s="50">
        <v>8.0</v>
      </c>
      <c r="G8" s="50">
        <v>6.0</v>
      </c>
      <c r="H8" s="45">
        <f t="shared" si="1"/>
        <v>6.75</v>
      </c>
      <c r="I8" s="53">
        <v>14.0</v>
      </c>
      <c r="J8" s="54">
        <v>24.0</v>
      </c>
      <c r="K8" s="50">
        <f t="shared" si="2"/>
        <v>6.833333333</v>
      </c>
      <c r="L8" s="49" t="s">
        <v>65</v>
      </c>
      <c r="M8" s="38"/>
      <c r="O8" s="59"/>
      <c r="P8" s="59"/>
      <c r="Q8" s="59"/>
    </row>
    <row r="9" ht="14.25" customHeight="1">
      <c r="A9" s="48">
        <v>1.0</v>
      </c>
      <c r="B9" s="40" t="s">
        <v>44</v>
      </c>
      <c r="C9" s="41" t="s">
        <v>19</v>
      </c>
      <c r="D9" s="42">
        <v>6.0</v>
      </c>
      <c r="E9" s="56">
        <v>6.5</v>
      </c>
      <c r="F9" s="42">
        <v>6.0</v>
      </c>
      <c r="G9" s="42">
        <v>6.0</v>
      </c>
      <c r="H9" s="45">
        <f t="shared" si="1"/>
        <v>6.125</v>
      </c>
      <c r="I9" s="46">
        <v>15.0</v>
      </c>
      <c r="J9" s="47">
        <v>21.0</v>
      </c>
      <c r="K9" s="42">
        <f t="shared" si="2"/>
        <v>7.230769231</v>
      </c>
      <c r="L9" s="48" t="s">
        <v>66</v>
      </c>
      <c r="M9" s="38"/>
    </row>
    <row r="10" ht="14.25" customHeight="1">
      <c r="A10" s="49">
        <v>1.0</v>
      </c>
      <c r="B10" s="40" t="s">
        <v>17</v>
      </c>
      <c r="C10" s="41" t="s">
        <v>19</v>
      </c>
      <c r="D10" s="50">
        <v>9.0</v>
      </c>
      <c r="E10" s="50">
        <v>8.0</v>
      </c>
      <c r="F10" s="51">
        <v>6.5</v>
      </c>
      <c r="G10" s="50">
        <v>8.0</v>
      </c>
      <c r="H10" s="45">
        <f t="shared" si="1"/>
        <v>7.875</v>
      </c>
      <c r="I10" s="53">
        <v>16.0</v>
      </c>
      <c r="J10" s="54">
        <v>25.0</v>
      </c>
      <c r="K10" s="50">
        <f t="shared" si="2"/>
        <v>7.4375</v>
      </c>
      <c r="L10" s="55" t="s">
        <v>67</v>
      </c>
      <c r="M10" s="38"/>
    </row>
    <row r="11" ht="14.25" customHeight="1">
      <c r="A11" s="39">
        <v>2.0</v>
      </c>
      <c r="B11" s="40" t="s">
        <v>22</v>
      </c>
      <c r="C11" s="41" t="s">
        <v>19</v>
      </c>
      <c r="D11" s="42">
        <v>8.0</v>
      </c>
      <c r="E11" s="42">
        <v>7.0</v>
      </c>
      <c r="F11" s="42">
        <v>7.0</v>
      </c>
      <c r="G11" s="42">
        <v>7.0</v>
      </c>
      <c r="H11" s="45">
        <f t="shared" si="1"/>
        <v>7.25</v>
      </c>
      <c r="I11" s="46">
        <v>16.0</v>
      </c>
      <c r="J11" s="47">
        <v>25.0</v>
      </c>
      <c r="K11" s="42">
        <f t="shared" si="2"/>
        <v>7.071428571</v>
      </c>
      <c r="L11" s="39" t="s">
        <v>68</v>
      </c>
      <c r="M11" s="38"/>
    </row>
    <row r="12" ht="14.25" customHeight="1">
      <c r="A12" s="49">
        <v>1.0</v>
      </c>
      <c r="B12" s="40" t="s">
        <v>41</v>
      </c>
      <c r="C12" s="41" t="s">
        <v>19</v>
      </c>
      <c r="D12" s="51">
        <v>7.5</v>
      </c>
      <c r="E12" s="50">
        <v>7.0</v>
      </c>
      <c r="F12" s="50">
        <v>7.0</v>
      </c>
      <c r="G12" s="50">
        <v>6.0</v>
      </c>
      <c r="H12" s="45">
        <f t="shared" si="1"/>
        <v>6.875</v>
      </c>
      <c r="I12" s="53">
        <v>7.0</v>
      </c>
      <c r="J12" s="54">
        <v>20.0</v>
      </c>
      <c r="K12" s="50">
        <f t="shared" si="2"/>
        <v>8.071428571</v>
      </c>
      <c r="L12" s="55" t="s">
        <v>69</v>
      </c>
      <c r="M12" s="38"/>
    </row>
    <row r="13" ht="14.25" customHeight="1">
      <c r="A13" s="48">
        <v>1.0</v>
      </c>
      <c r="B13" s="40" t="s">
        <v>36</v>
      </c>
      <c r="C13" s="41" t="s">
        <v>19</v>
      </c>
      <c r="D13" s="42">
        <v>9.0</v>
      </c>
      <c r="E13" s="42">
        <v>7.0</v>
      </c>
      <c r="F13" s="42">
        <v>7.0</v>
      </c>
      <c r="G13" s="42">
        <v>7.0</v>
      </c>
      <c r="H13" s="45">
        <f t="shared" si="1"/>
        <v>7.5</v>
      </c>
      <c r="I13" s="46">
        <v>14.0</v>
      </c>
      <c r="J13" s="47">
        <v>23.0</v>
      </c>
      <c r="K13" s="42">
        <f t="shared" si="2"/>
        <v>7.357142857</v>
      </c>
      <c r="L13" s="39" t="s">
        <v>70</v>
      </c>
      <c r="M13" s="38"/>
    </row>
    <row r="14" ht="14.25" customHeight="1">
      <c r="A14" s="49">
        <v>1.0</v>
      </c>
      <c r="B14" s="40" t="s">
        <v>34</v>
      </c>
      <c r="C14" s="41" t="s">
        <v>19</v>
      </c>
      <c r="D14" s="50">
        <v>8.0</v>
      </c>
      <c r="E14" s="50">
        <v>7.0</v>
      </c>
      <c r="F14" s="50">
        <v>8.0</v>
      </c>
      <c r="G14" s="51">
        <v>7.5</v>
      </c>
      <c r="H14" s="45">
        <f t="shared" si="1"/>
        <v>7.625</v>
      </c>
      <c r="I14" s="53">
        <v>16.0</v>
      </c>
      <c r="J14" s="54">
        <v>30.0</v>
      </c>
      <c r="K14" s="50">
        <f t="shared" si="2"/>
        <v>6.714285714</v>
      </c>
      <c r="L14" s="55" t="s">
        <v>71</v>
      </c>
      <c r="M14" s="38"/>
    </row>
    <row r="15" ht="14.25" customHeight="1">
      <c r="A15" s="39">
        <v>2.0</v>
      </c>
      <c r="B15" s="40" t="s">
        <v>12</v>
      </c>
      <c r="C15" s="41" t="s">
        <v>19</v>
      </c>
      <c r="D15" s="42">
        <v>8.0</v>
      </c>
      <c r="E15" s="42">
        <v>7.0</v>
      </c>
      <c r="F15" s="42">
        <v>8.0</v>
      </c>
      <c r="G15" s="56">
        <v>8.5</v>
      </c>
      <c r="H15" s="45">
        <f t="shared" si="1"/>
        <v>7.875</v>
      </c>
      <c r="I15" s="46">
        <v>16.0</v>
      </c>
      <c r="J15" s="47">
        <v>25.0</v>
      </c>
      <c r="K15" s="42">
        <f t="shared" si="2"/>
        <v>7.071428571</v>
      </c>
      <c r="L15" s="48" t="s">
        <v>72</v>
      </c>
      <c r="M15" s="38"/>
    </row>
    <row r="16" ht="14.25" customHeight="1">
      <c r="A16" s="49">
        <v>1.0</v>
      </c>
      <c r="B16" s="40" t="s">
        <v>37</v>
      </c>
      <c r="C16" s="41" t="s">
        <v>19</v>
      </c>
      <c r="D16" s="51">
        <v>7.5</v>
      </c>
      <c r="E16" s="51">
        <v>7.5</v>
      </c>
      <c r="F16" s="51">
        <v>8.5</v>
      </c>
      <c r="G16" s="50">
        <v>6.0</v>
      </c>
      <c r="H16" s="45">
        <f t="shared" si="1"/>
        <v>7.375</v>
      </c>
      <c r="I16" s="53">
        <v>20.0</v>
      </c>
      <c r="J16" s="54">
        <v>25.0</v>
      </c>
      <c r="K16" s="50">
        <f t="shared" si="2"/>
        <v>7</v>
      </c>
      <c r="L16" s="55" t="s">
        <v>73</v>
      </c>
      <c r="M16" s="38"/>
    </row>
    <row r="17" ht="14.25" customHeight="1">
      <c r="A17" s="48">
        <v>1.0</v>
      </c>
      <c r="B17" s="40" t="s">
        <v>48</v>
      </c>
      <c r="C17" s="60" t="s">
        <v>46</v>
      </c>
      <c r="D17" s="42">
        <v>6.0</v>
      </c>
      <c r="E17" s="43">
        <v>7.0</v>
      </c>
      <c r="F17" s="42">
        <v>6.0</v>
      </c>
      <c r="G17" s="42">
        <v>7.0</v>
      </c>
      <c r="H17" s="45">
        <f t="shared" si="1"/>
        <v>6.5</v>
      </c>
      <c r="I17" s="46">
        <v>20.0</v>
      </c>
      <c r="J17" s="47">
        <v>35.0</v>
      </c>
      <c r="K17" s="42">
        <f t="shared" si="2"/>
        <v>6.071428571</v>
      </c>
      <c r="L17" s="48" t="s">
        <v>74</v>
      </c>
      <c r="M17" s="38"/>
    </row>
    <row r="18" ht="14.25" customHeight="1">
      <c r="A18" s="49">
        <v>1.0</v>
      </c>
      <c r="B18" s="40" t="s">
        <v>47</v>
      </c>
      <c r="C18" s="60" t="s">
        <v>46</v>
      </c>
      <c r="D18" s="50">
        <v>8.0</v>
      </c>
      <c r="E18" s="50">
        <v>7.0</v>
      </c>
      <c r="F18" s="50">
        <v>7.0</v>
      </c>
      <c r="G18" s="50">
        <v>8.0</v>
      </c>
      <c r="H18" s="45">
        <f t="shared" si="1"/>
        <v>7.5</v>
      </c>
      <c r="I18" s="53">
        <v>15.0</v>
      </c>
      <c r="J18" s="54">
        <v>25.0</v>
      </c>
      <c r="K18" s="50">
        <f t="shared" si="2"/>
        <v>7.142857143</v>
      </c>
      <c r="L18" s="55" t="s">
        <v>75</v>
      </c>
      <c r="M18" s="38"/>
    </row>
    <row r="19" ht="14.25" customHeight="1">
      <c r="A19" s="39">
        <v>1.0</v>
      </c>
      <c r="B19" s="57" t="s">
        <v>35</v>
      </c>
      <c r="C19" s="61" t="s">
        <v>19</v>
      </c>
      <c r="D19" s="43">
        <v>8.0</v>
      </c>
      <c r="E19" s="62">
        <v>7.5</v>
      </c>
      <c r="F19" s="43">
        <v>7.0</v>
      </c>
      <c r="G19" s="43">
        <v>8.0</v>
      </c>
      <c r="H19" s="45">
        <f t="shared" si="1"/>
        <v>7.625</v>
      </c>
      <c r="I19" s="63">
        <v>20.0</v>
      </c>
      <c r="J19" s="64">
        <v>22.0</v>
      </c>
      <c r="K19" s="42">
        <f t="shared" si="2"/>
        <v>7.2</v>
      </c>
      <c r="L19" s="39" t="s">
        <v>76</v>
      </c>
      <c r="M19" s="38"/>
    </row>
    <row r="20" ht="14.25" customHeight="1">
      <c r="A20" s="55">
        <v>2.0</v>
      </c>
      <c r="B20" s="57" t="s">
        <v>40</v>
      </c>
      <c r="C20" s="61" t="s">
        <v>19</v>
      </c>
      <c r="D20" s="58">
        <v>7.0</v>
      </c>
      <c r="E20" s="58">
        <v>7.0</v>
      </c>
      <c r="F20" s="65">
        <v>7.0</v>
      </c>
      <c r="G20" s="58">
        <v>7.0</v>
      </c>
      <c r="H20" s="45">
        <f t="shared" si="1"/>
        <v>7</v>
      </c>
      <c r="I20" s="66">
        <v>15.0</v>
      </c>
      <c r="J20" s="67">
        <v>19.0</v>
      </c>
      <c r="K20" s="50">
        <f t="shared" si="2"/>
        <v>7.571428571</v>
      </c>
      <c r="L20" s="55" t="s">
        <v>77</v>
      </c>
      <c r="M20" s="38"/>
    </row>
    <row r="21" ht="14.25" customHeight="1">
      <c r="A21" s="39">
        <v>1.0</v>
      </c>
      <c r="B21" s="57" t="s">
        <v>33</v>
      </c>
      <c r="C21" s="61" t="s">
        <v>19</v>
      </c>
      <c r="D21" s="43">
        <v>8.0</v>
      </c>
      <c r="E21" s="43">
        <v>7.0</v>
      </c>
      <c r="F21" s="43">
        <v>8.0</v>
      </c>
      <c r="G21" s="43">
        <v>8.0</v>
      </c>
      <c r="H21" s="45">
        <f t="shared" si="1"/>
        <v>7.75</v>
      </c>
      <c r="I21" s="63">
        <v>20.0</v>
      </c>
      <c r="J21" s="64">
        <v>25.0</v>
      </c>
      <c r="K21" s="42">
        <f t="shared" si="2"/>
        <v>6.785714286</v>
      </c>
      <c r="L21" s="39" t="s">
        <v>78</v>
      </c>
      <c r="M21" s="38"/>
    </row>
    <row r="22" ht="14.25" customHeight="1">
      <c r="A22" s="55">
        <v>2.0</v>
      </c>
      <c r="B22" s="57" t="s">
        <v>31</v>
      </c>
      <c r="C22" s="61" t="s">
        <v>19</v>
      </c>
      <c r="D22" s="52">
        <v>7.5</v>
      </c>
      <c r="E22" s="58">
        <v>7.0</v>
      </c>
      <c r="F22" s="52">
        <v>8.5</v>
      </c>
      <c r="G22" s="58">
        <v>8.0</v>
      </c>
      <c r="H22" s="45">
        <f t="shared" si="1"/>
        <v>7.75</v>
      </c>
      <c r="I22" s="66">
        <v>16.0</v>
      </c>
      <c r="J22" s="67">
        <v>20.0</v>
      </c>
      <c r="K22" s="50">
        <f t="shared" si="2"/>
        <v>7.428571429</v>
      </c>
      <c r="L22" s="55" t="s">
        <v>79</v>
      </c>
      <c r="M22" s="38"/>
    </row>
    <row r="23" ht="14.25" customHeight="1">
      <c r="A23" s="39">
        <v>1.0</v>
      </c>
      <c r="B23" s="40" t="s">
        <v>20</v>
      </c>
      <c r="C23" s="41" t="s">
        <v>19</v>
      </c>
      <c r="D23" s="62">
        <v>8.5</v>
      </c>
      <c r="E23" s="62">
        <v>8.6</v>
      </c>
      <c r="F23" s="43">
        <v>9.0</v>
      </c>
      <c r="G23" s="43">
        <v>9.0</v>
      </c>
      <c r="H23" s="45">
        <f t="shared" si="1"/>
        <v>8.775</v>
      </c>
      <c r="I23" s="63">
        <v>28.0</v>
      </c>
      <c r="J23" s="64">
        <v>35.0</v>
      </c>
      <c r="K23" s="42">
        <f t="shared" ref="K23:K32" si="3">10-AVERAGE(I23,J23)/E23</f>
        <v>6.337209302</v>
      </c>
      <c r="L23" s="39" t="s">
        <v>80</v>
      </c>
      <c r="M23" s="38"/>
    </row>
    <row r="24" ht="14.25" customHeight="1">
      <c r="A24" s="55">
        <v>2.0</v>
      </c>
      <c r="B24" s="29" t="s">
        <v>38</v>
      </c>
      <c r="C24" s="41" t="s">
        <v>19</v>
      </c>
      <c r="D24" s="68">
        <v>7.0</v>
      </c>
      <c r="E24" s="68">
        <v>8.0</v>
      </c>
      <c r="F24" s="68">
        <v>6.0</v>
      </c>
      <c r="G24" s="68">
        <v>7.0</v>
      </c>
      <c r="H24" s="45">
        <f t="shared" si="1"/>
        <v>7</v>
      </c>
      <c r="I24" s="69">
        <v>18.0</v>
      </c>
      <c r="J24" s="70">
        <v>22.0</v>
      </c>
      <c r="K24" s="50">
        <f t="shared" si="3"/>
        <v>7.5</v>
      </c>
      <c r="L24" s="71" t="s">
        <v>81</v>
      </c>
      <c r="M24" s="38"/>
    </row>
    <row r="25" ht="14.25" customHeight="1">
      <c r="A25" s="39">
        <v>3.0</v>
      </c>
      <c r="B25" s="57" t="s">
        <v>23</v>
      </c>
      <c r="C25" s="61" t="s">
        <v>19</v>
      </c>
      <c r="D25" s="62">
        <v>8.5</v>
      </c>
      <c r="E25" s="62">
        <v>8.3</v>
      </c>
      <c r="F25" s="62">
        <v>8.6</v>
      </c>
      <c r="G25" s="43">
        <v>8.7</v>
      </c>
      <c r="H25" s="72">
        <f t="shared" si="1"/>
        <v>8.525</v>
      </c>
      <c r="I25" s="73">
        <v>18.0</v>
      </c>
      <c r="J25" s="74">
        <v>24.0</v>
      </c>
      <c r="K25" s="42">
        <f t="shared" si="3"/>
        <v>7.469879518</v>
      </c>
      <c r="L25" s="75" t="s">
        <v>82</v>
      </c>
      <c r="M25" s="38"/>
    </row>
    <row r="26" ht="14.25" customHeight="1">
      <c r="A26" s="55">
        <v>1.0</v>
      </c>
      <c r="B26" s="57" t="s">
        <v>30</v>
      </c>
      <c r="C26" s="61" t="s">
        <v>19</v>
      </c>
      <c r="D26" s="52">
        <v>8.25</v>
      </c>
      <c r="E26" s="52">
        <v>7.3</v>
      </c>
      <c r="F26" s="52">
        <v>7.5</v>
      </c>
      <c r="G26" s="58">
        <v>8.0</v>
      </c>
      <c r="H26" s="72">
        <f t="shared" si="1"/>
        <v>7.7625</v>
      </c>
      <c r="I26" s="76">
        <v>28.0</v>
      </c>
      <c r="J26" s="77">
        <v>35.0</v>
      </c>
      <c r="K26" s="50">
        <f t="shared" si="3"/>
        <v>5.684931507</v>
      </c>
      <c r="L26" s="55" t="s">
        <v>83</v>
      </c>
      <c r="M26" s="38"/>
    </row>
    <row r="27" ht="14.25" customHeight="1">
      <c r="A27" s="78">
        <v>20.0</v>
      </c>
      <c r="B27" s="57" t="s">
        <v>14</v>
      </c>
      <c r="C27" s="61" t="s">
        <v>19</v>
      </c>
      <c r="D27" s="62">
        <v>8.5</v>
      </c>
      <c r="E27" s="43">
        <v>8.0</v>
      </c>
      <c r="F27" s="79">
        <v>7.5</v>
      </c>
      <c r="G27" s="43">
        <v>8.0</v>
      </c>
      <c r="H27" s="72">
        <f t="shared" si="1"/>
        <v>8</v>
      </c>
      <c r="I27" s="73">
        <v>7.0</v>
      </c>
      <c r="J27" s="74">
        <v>18.0</v>
      </c>
      <c r="K27" s="42">
        <f t="shared" si="3"/>
        <v>8.4375</v>
      </c>
      <c r="L27" s="39" t="s">
        <v>84</v>
      </c>
      <c r="M27" s="38"/>
    </row>
    <row r="28" ht="14.25" customHeight="1">
      <c r="A28" s="80">
        <v>1.0</v>
      </c>
      <c r="B28" s="81" t="s">
        <v>27</v>
      </c>
      <c r="C28" s="61" t="s">
        <v>19</v>
      </c>
      <c r="D28" s="82">
        <v>8.5</v>
      </c>
      <c r="E28" s="82">
        <v>7.5</v>
      </c>
      <c r="F28" s="82">
        <v>8.0</v>
      </c>
      <c r="G28" s="82">
        <v>7.5</v>
      </c>
      <c r="H28" s="83">
        <f t="shared" si="1"/>
        <v>7.875</v>
      </c>
      <c r="I28" s="84">
        <v>18.0</v>
      </c>
      <c r="J28" s="85">
        <v>22.0</v>
      </c>
      <c r="K28" s="86">
        <f t="shared" si="3"/>
        <v>7.333333333</v>
      </c>
      <c r="L28" s="87" t="s">
        <v>85</v>
      </c>
      <c r="M28" s="38"/>
    </row>
    <row r="29" ht="14.25" customHeight="1">
      <c r="A29" s="88">
        <v>11.0</v>
      </c>
      <c r="B29" s="81" t="s">
        <v>28</v>
      </c>
      <c r="C29" s="61" t="s">
        <v>19</v>
      </c>
      <c r="D29" s="89">
        <v>8.5</v>
      </c>
      <c r="E29" s="89">
        <v>7.5</v>
      </c>
      <c r="F29" s="89">
        <v>7.5</v>
      </c>
      <c r="G29" s="89">
        <v>8.0</v>
      </c>
      <c r="H29" s="83">
        <f t="shared" si="1"/>
        <v>7.875</v>
      </c>
      <c r="I29" s="90">
        <v>20.0</v>
      </c>
      <c r="J29" s="91">
        <v>22.0</v>
      </c>
      <c r="K29" s="92">
        <f t="shared" si="3"/>
        <v>7.2</v>
      </c>
      <c r="L29" s="78" t="s">
        <v>86</v>
      </c>
      <c r="M29" s="38"/>
    </row>
    <row r="30" ht="14.25" customHeight="1">
      <c r="A30" s="80">
        <v>1.0</v>
      </c>
      <c r="B30" s="81" t="s">
        <v>29</v>
      </c>
      <c r="C30" s="61" t="s">
        <v>19</v>
      </c>
      <c r="D30" s="82">
        <v>8.5</v>
      </c>
      <c r="E30" s="82">
        <v>7.0</v>
      </c>
      <c r="F30" s="82" t="s">
        <v>87</v>
      </c>
      <c r="G30" s="82">
        <v>8.0</v>
      </c>
      <c r="H30" s="83">
        <f t="shared" si="1"/>
        <v>7.833333333</v>
      </c>
      <c r="I30" s="93">
        <v>20.0</v>
      </c>
      <c r="J30" s="94">
        <v>22.0</v>
      </c>
      <c r="K30" s="86">
        <f t="shared" si="3"/>
        <v>7</v>
      </c>
      <c r="L30" s="87" t="s">
        <v>88</v>
      </c>
      <c r="M30" s="38"/>
    </row>
    <row r="31" ht="14.25" customHeight="1">
      <c r="A31" s="95">
        <v>1.0</v>
      </c>
      <c r="B31" s="96">
        <v>966.0</v>
      </c>
      <c r="C31" s="61" t="s">
        <v>19</v>
      </c>
      <c r="D31" s="97">
        <v>8.0</v>
      </c>
      <c r="E31" s="97">
        <v>8.0</v>
      </c>
      <c r="F31" s="97" t="s">
        <v>87</v>
      </c>
      <c r="G31" s="97">
        <v>8.0</v>
      </c>
      <c r="H31" s="83">
        <f t="shared" si="1"/>
        <v>8</v>
      </c>
      <c r="I31" s="98">
        <v>23.0</v>
      </c>
      <c r="J31" s="99">
        <v>32.0</v>
      </c>
      <c r="K31" s="92">
        <f t="shared" si="3"/>
        <v>6.5625</v>
      </c>
      <c r="L31" s="100" t="s">
        <v>89</v>
      </c>
      <c r="M31" s="38"/>
    </row>
    <row r="32" ht="14.25" customHeight="1">
      <c r="A32" s="80">
        <v>1.0</v>
      </c>
      <c r="B32" s="101" t="s">
        <v>13</v>
      </c>
      <c r="C32" s="61" t="s">
        <v>19</v>
      </c>
      <c r="D32" s="82">
        <v>8.5</v>
      </c>
      <c r="E32" s="82">
        <v>8.0</v>
      </c>
      <c r="F32" s="82" t="s">
        <v>87</v>
      </c>
      <c r="G32" s="82">
        <v>9.5</v>
      </c>
      <c r="H32" s="102">
        <f t="shared" si="1"/>
        <v>8.666666667</v>
      </c>
      <c r="I32" s="103">
        <v>18.0</v>
      </c>
      <c r="J32" s="103">
        <v>25.0</v>
      </c>
      <c r="K32" s="50">
        <f t="shared" si="3"/>
        <v>7.3125</v>
      </c>
      <c r="L32" s="87" t="s">
        <v>90</v>
      </c>
      <c r="M32" s="38"/>
    </row>
    <row r="33" ht="14.25" customHeight="1">
      <c r="A33" s="104">
        <v>4.0</v>
      </c>
      <c r="B33" s="57" t="s">
        <v>24</v>
      </c>
      <c r="C33" s="61" t="s">
        <v>19</v>
      </c>
      <c r="D33" s="62">
        <v>8.5</v>
      </c>
      <c r="E33" s="43">
        <v>8.5</v>
      </c>
      <c r="F33" s="62">
        <v>7.5</v>
      </c>
      <c r="G33" s="62">
        <v>9.25</v>
      </c>
      <c r="H33" s="105">
        <f t="shared" si="1"/>
        <v>8.4375</v>
      </c>
      <c r="I33" s="106">
        <v>15.0</v>
      </c>
      <c r="J33" s="107">
        <v>24.0</v>
      </c>
      <c r="K33" s="108">
        <f>10-AVERAGE(I33,J33)/E33</f>
        <v>7.705882353</v>
      </c>
      <c r="L33" s="109" t="s">
        <v>59</v>
      </c>
      <c r="M33" s="38"/>
    </row>
    <row r="34" ht="14.25" customHeight="1">
      <c r="A34" s="80">
        <v>1.0</v>
      </c>
      <c r="B34" s="81" t="s">
        <v>10</v>
      </c>
      <c r="C34" s="60" t="s">
        <v>46</v>
      </c>
      <c r="D34" s="82">
        <v>8.5</v>
      </c>
      <c r="E34" s="82">
        <v>8.5</v>
      </c>
      <c r="F34" s="82">
        <v>9.2</v>
      </c>
      <c r="G34" s="82">
        <v>8.8</v>
      </c>
      <c r="H34" s="102">
        <f t="shared" si="1"/>
        <v>8.75</v>
      </c>
      <c r="I34" s="103">
        <v>22.0</v>
      </c>
      <c r="J34" s="103">
        <v>32.0</v>
      </c>
      <c r="K34" s="50">
        <f t="shared" ref="K34:K37" si="4">10-AVERAGE(I34,J34)/E34</f>
        <v>6.823529412</v>
      </c>
      <c r="L34" s="87" t="s">
        <v>91</v>
      </c>
      <c r="M34" s="38"/>
    </row>
    <row r="35" ht="14.25" customHeight="1">
      <c r="A35" s="88">
        <v>8.0</v>
      </c>
      <c r="B35" s="81" t="s">
        <v>25</v>
      </c>
      <c r="C35" s="61" t="s">
        <v>19</v>
      </c>
      <c r="D35" s="89">
        <v>8.4</v>
      </c>
      <c r="E35" s="89">
        <v>8.7</v>
      </c>
      <c r="F35" s="89">
        <v>8.0</v>
      </c>
      <c r="G35" s="89">
        <v>8.5</v>
      </c>
      <c r="H35" s="102">
        <f t="shared" si="1"/>
        <v>8.4</v>
      </c>
      <c r="I35" s="110">
        <v>22.0</v>
      </c>
      <c r="J35" s="110">
        <v>22.0</v>
      </c>
      <c r="K35" s="42">
        <f t="shared" si="4"/>
        <v>7.471264368</v>
      </c>
      <c r="L35" s="78" t="s">
        <v>92</v>
      </c>
      <c r="M35" s="38"/>
    </row>
    <row r="36" ht="14.25" customHeight="1">
      <c r="A36" s="80">
        <v>1.0</v>
      </c>
      <c r="B36" s="81" t="s">
        <v>21</v>
      </c>
      <c r="C36" s="61" t="s">
        <v>19</v>
      </c>
      <c r="D36" s="82">
        <v>8.0</v>
      </c>
      <c r="E36" s="82">
        <v>8.6</v>
      </c>
      <c r="F36" s="82" t="s">
        <v>87</v>
      </c>
      <c r="G36" s="82">
        <v>8.0</v>
      </c>
      <c r="H36" s="102">
        <f t="shared" si="1"/>
        <v>8.2</v>
      </c>
      <c r="I36" s="103">
        <v>22.0</v>
      </c>
      <c r="J36" s="103">
        <v>24.0</v>
      </c>
      <c r="K36" s="50">
        <f t="shared" si="4"/>
        <v>7.325581395</v>
      </c>
      <c r="L36" s="87" t="s">
        <v>93</v>
      </c>
      <c r="M36" s="38"/>
    </row>
    <row r="37" ht="14.25" customHeight="1">
      <c r="A37" s="95">
        <v>1.0</v>
      </c>
      <c r="B37" s="111" t="s">
        <v>16</v>
      </c>
      <c r="C37" s="112" t="s">
        <v>19</v>
      </c>
      <c r="D37" s="97">
        <v>8.2</v>
      </c>
      <c r="E37" s="97">
        <v>8.2</v>
      </c>
      <c r="F37" s="97">
        <v>8.9</v>
      </c>
      <c r="G37" s="97">
        <v>8.0</v>
      </c>
      <c r="H37" s="102">
        <f t="shared" si="1"/>
        <v>8.325</v>
      </c>
      <c r="I37" s="113">
        <v>24.0</v>
      </c>
      <c r="J37" s="113">
        <v>24.0</v>
      </c>
      <c r="K37" s="50">
        <f t="shared" si="4"/>
        <v>7.073170732</v>
      </c>
      <c r="L37" s="100" t="s">
        <v>94</v>
      </c>
      <c r="M37" s="38"/>
    </row>
    <row r="38" ht="19.5" customHeight="1">
      <c r="A38" s="114" t="s">
        <v>95</v>
      </c>
      <c r="B38" s="115" t="s">
        <v>9</v>
      </c>
      <c r="C38" s="116"/>
      <c r="D38" s="117">
        <f t="shared" ref="D38:G38" si="5">AVERAGE(D2:D37)</f>
        <v>7.876388889</v>
      </c>
      <c r="E38" s="117">
        <f t="shared" si="5"/>
        <v>7.463888889</v>
      </c>
      <c r="F38" s="117">
        <f t="shared" si="5"/>
        <v>7.390625</v>
      </c>
      <c r="G38" s="117">
        <f t="shared" si="5"/>
        <v>7.793055556</v>
      </c>
      <c r="H38" s="117">
        <f>AVERAGE(H2:H36)</f>
        <v>7.633571429</v>
      </c>
      <c r="I38" s="118">
        <f t="shared" ref="I38:J38" si="6">AVERAGE(I2:I37)</f>
        <v>17.80555556</v>
      </c>
      <c r="J38" s="118">
        <f t="shared" si="6"/>
        <v>24.91666667</v>
      </c>
      <c r="K38" s="118">
        <f>AVERAGE(K2:K36)</f>
        <v>7.113617899</v>
      </c>
      <c r="L38" s="119"/>
      <c r="M38" s="38"/>
    </row>
    <row r="39" ht="14.25" customHeight="1">
      <c r="A39" s="120">
        <f>SUM(A2:A37)</f>
        <v>102</v>
      </c>
      <c r="B39" s="121"/>
      <c r="C39" s="121"/>
      <c r="D39" s="38"/>
      <c r="E39" s="38"/>
      <c r="F39" s="38"/>
      <c r="G39" s="38"/>
      <c r="H39" s="38"/>
      <c r="I39" s="38"/>
      <c r="J39" s="38"/>
      <c r="K39" s="38"/>
      <c r="L39" s="38"/>
      <c r="M39" s="38"/>
    </row>
    <row r="40" ht="15.0" customHeight="1">
      <c r="A40" s="122" t="s">
        <v>96</v>
      </c>
      <c r="C40" s="59"/>
      <c r="D40" s="59"/>
      <c r="E40" s="59"/>
      <c r="F40" s="59"/>
      <c r="G40" s="59"/>
      <c r="H40" s="59"/>
      <c r="I40" s="59"/>
      <c r="J40" s="59"/>
      <c r="K40" s="59"/>
      <c r="L40" s="59"/>
      <c r="M40" s="38"/>
    </row>
    <row r="41" ht="14.25" customHeight="1">
      <c r="A41" s="123">
        <f>count(A2:A37)</f>
        <v>36</v>
      </c>
      <c r="C41" s="59"/>
      <c r="D41" s="59"/>
      <c r="E41" s="59"/>
      <c r="F41" s="59"/>
      <c r="G41" s="59"/>
      <c r="H41" s="59"/>
      <c r="I41" s="59"/>
      <c r="J41" s="59"/>
      <c r="K41" s="59"/>
      <c r="L41" s="59"/>
      <c r="M41" s="38"/>
    </row>
    <row r="42" ht="15.0" customHeight="1">
      <c r="A42" s="59"/>
      <c r="C42" s="59"/>
      <c r="D42" s="59"/>
      <c r="E42" s="59"/>
      <c r="F42" s="59"/>
      <c r="G42" s="59"/>
      <c r="H42" s="59"/>
      <c r="I42" s="59"/>
      <c r="J42" s="59"/>
      <c r="K42" s="59"/>
      <c r="L42" s="59"/>
      <c r="M42" s="59"/>
    </row>
    <row r="43" ht="14.25" customHeight="1">
      <c r="A43" s="59"/>
      <c r="C43" s="59"/>
      <c r="D43" s="59"/>
      <c r="E43" s="59"/>
      <c r="F43" s="59"/>
      <c r="G43" s="59"/>
      <c r="H43" s="59"/>
      <c r="I43" s="59"/>
      <c r="J43" s="59"/>
      <c r="K43" s="59"/>
      <c r="L43" s="59"/>
      <c r="M43" s="59"/>
    </row>
    <row r="44" ht="15.0" customHeight="1">
      <c r="A44" s="59"/>
      <c r="C44" s="59"/>
      <c r="D44" s="59"/>
      <c r="E44" s="59"/>
      <c r="F44" s="59"/>
      <c r="G44" s="59"/>
      <c r="H44" s="59"/>
      <c r="I44" s="59"/>
      <c r="J44" s="59"/>
      <c r="K44" s="59"/>
      <c r="L44" s="59"/>
      <c r="M44" s="59"/>
    </row>
    <row r="45" ht="14.25" customHeight="1">
      <c r="A45" s="59"/>
      <c r="C45" s="59"/>
      <c r="D45" s="59"/>
      <c r="E45" s="59"/>
      <c r="F45" s="59"/>
      <c r="G45" s="59"/>
      <c r="H45" s="59"/>
      <c r="I45" s="59"/>
      <c r="J45" s="59"/>
      <c r="K45" s="59"/>
      <c r="L45" s="59"/>
      <c r="M45" s="59"/>
    </row>
    <row r="46" ht="14.25" customHeight="1">
      <c r="A46" s="59"/>
      <c r="C46" s="59"/>
      <c r="D46" s="59"/>
      <c r="E46" s="59"/>
      <c r="F46" s="59"/>
      <c r="G46" s="59"/>
      <c r="H46" s="59"/>
      <c r="I46" s="59"/>
      <c r="J46" s="59"/>
      <c r="K46" s="59"/>
      <c r="L46" s="59"/>
      <c r="M46" s="59"/>
    </row>
    <row r="47" ht="14.25" customHeight="1">
      <c r="A47" s="59"/>
      <c r="C47" s="59"/>
      <c r="D47" s="59"/>
      <c r="E47" s="59"/>
      <c r="F47" s="59"/>
      <c r="G47" s="59"/>
      <c r="H47" s="59"/>
      <c r="I47" s="59"/>
      <c r="J47" s="59"/>
      <c r="K47" s="59"/>
      <c r="L47" s="59"/>
      <c r="M47" s="59"/>
    </row>
    <row r="48" ht="14.25" customHeight="1">
      <c r="A48" s="59"/>
      <c r="C48" s="59"/>
      <c r="D48" s="59"/>
      <c r="E48" s="59"/>
      <c r="F48" s="59"/>
      <c r="G48" s="59"/>
      <c r="H48" s="59"/>
      <c r="I48" s="59"/>
      <c r="J48" s="59"/>
      <c r="K48" s="59"/>
      <c r="L48" s="59"/>
      <c r="M48" s="59"/>
    </row>
    <row r="49" ht="14.25" customHeight="1">
      <c r="A49" s="59"/>
      <c r="C49" s="59"/>
      <c r="D49" s="59"/>
      <c r="E49" s="59"/>
      <c r="F49" s="59"/>
      <c r="G49" s="59"/>
      <c r="H49" s="59"/>
      <c r="I49" s="59"/>
      <c r="J49" s="59"/>
      <c r="K49" s="59"/>
      <c r="L49" s="59"/>
      <c r="M49" s="59"/>
    </row>
    <row r="50" ht="14.25" customHeight="1">
      <c r="A50" s="59"/>
      <c r="C50" s="59"/>
      <c r="D50" s="59"/>
      <c r="E50" s="59"/>
      <c r="F50" s="59"/>
      <c r="G50" s="59"/>
      <c r="H50" s="59"/>
      <c r="I50" s="59"/>
      <c r="J50" s="59"/>
      <c r="K50" s="59"/>
      <c r="L50" s="59"/>
      <c r="M50" s="59"/>
    </row>
    <row r="51" ht="14.25" customHeight="1">
      <c r="A51" s="59"/>
      <c r="B51" s="59"/>
      <c r="C51" s="59"/>
      <c r="D51" s="59"/>
      <c r="E51" s="59"/>
      <c r="F51" s="59"/>
      <c r="G51" s="59"/>
      <c r="H51" s="59"/>
      <c r="I51" s="59"/>
      <c r="J51" s="59"/>
      <c r="K51" s="59"/>
      <c r="L51" s="59"/>
      <c r="M51" s="59"/>
    </row>
    <row r="52" ht="14.25" customHeight="1">
      <c r="A52" s="59"/>
      <c r="B52" s="59"/>
      <c r="C52" s="59"/>
      <c r="D52" s="59"/>
      <c r="E52" s="59"/>
      <c r="F52" s="59"/>
      <c r="G52" s="59"/>
      <c r="H52" s="59"/>
      <c r="I52" s="59"/>
      <c r="J52" s="59"/>
      <c r="K52" s="59"/>
      <c r="L52" s="59"/>
      <c r="M52" s="59"/>
    </row>
    <row r="53" ht="14.25" customHeight="1">
      <c r="A53" s="59"/>
      <c r="B53" s="59"/>
      <c r="C53" s="59"/>
      <c r="D53" s="59"/>
      <c r="E53" s="59"/>
      <c r="F53" s="59"/>
      <c r="G53" s="59"/>
      <c r="H53" s="59"/>
      <c r="I53" s="59"/>
      <c r="J53" s="59"/>
      <c r="K53" s="59"/>
      <c r="L53" s="59"/>
      <c r="M53" s="59"/>
    </row>
    <row r="54" ht="14.25" customHeight="1">
      <c r="A54" s="59"/>
      <c r="B54" s="59"/>
      <c r="C54" s="59"/>
      <c r="D54" s="59"/>
      <c r="E54" s="59"/>
      <c r="F54" s="59"/>
      <c r="G54" s="59"/>
      <c r="H54" s="59"/>
      <c r="I54" s="59"/>
      <c r="J54" s="59"/>
      <c r="K54" s="59"/>
      <c r="L54" s="59"/>
      <c r="M54" s="59"/>
    </row>
    <row r="55" ht="14.25" customHeight="1">
      <c r="A55" s="59"/>
      <c r="B55" s="59"/>
      <c r="C55" s="59"/>
      <c r="D55" s="59"/>
      <c r="E55" s="59"/>
      <c r="F55" s="59"/>
      <c r="G55" s="59"/>
      <c r="H55" s="59"/>
      <c r="I55" s="59"/>
      <c r="J55" s="59"/>
      <c r="K55" s="59"/>
      <c r="L55" s="59"/>
      <c r="M55" s="59"/>
    </row>
    <row r="56" ht="14.25" customHeight="1">
      <c r="A56" s="59"/>
      <c r="B56" s="59"/>
      <c r="C56" s="59"/>
      <c r="D56" s="59"/>
      <c r="E56" s="59"/>
      <c r="F56" s="59"/>
      <c r="G56" s="59"/>
      <c r="H56" s="59"/>
      <c r="I56" s="59"/>
      <c r="J56" s="59"/>
      <c r="K56" s="59"/>
      <c r="L56" s="59"/>
      <c r="M56" s="59"/>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sheetData>
  <mergeCells count="2">
    <mergeCell ref="I1:J1"/>
    <mergeCell ref="B38:C38"/>
  </mergeCell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0"/>
  </cols>
  <sheetData>
    <row r="1">
      <c r="A1" s="124" t="s">
        <v>97</v>
      </c>
    </row>
    <row r="2">
      <c r="A2" s="125" t="s">
        <v>98</v>
      </c>
    </row>
    <row r="3">
      <c r="A3" s="125" t="s">
        <v>99</v>
      </c>
    </row>
    <row r="4">
      <c r="A4" s="125" t="s">
        <v>100</v>
      </c>
    </row>
    <row r="5">
      <c r="A5" s="125" t="s">
        <v>101</v>
      </c>
    </row>
    <row r="6">
      <c r="A6" s="125" t="s">
        <v>102</v>
      </c>
    </row>
    <row r="7">
      <c r="A7" s="126" t="s">
        <v>103</v>
      </c>
    </row>
    <row r="8">
      <c r="A8" s="126" t="s">
        <v>104</v>
      </c>
    </row>
    <row r="9">
      <c r="A9" s="126" t="s">
        <v>105</v>
      </c>
    </row>
    <row r="10">
      <c r="A10" s="126" t="s">
        <v>106</v>
      </c>
    </row>
    <row r="11">
      <c r="A11" s="126" t="s">
        <v>107</v>
      </c>
    </row>
    <row r="12">
      <c r="A12" s="126" t="s">
        <v>108</v>
      </c>
    </row>
    <row r="13">
      <c r="A13" s="126" t="s">
        <v>109</v>
      </c>
    </row>
    <row r="14">
      <c r="A14" s="126" t="s">
        <v>110</v>
      </c>
    </row>
    <row r="15">
      <c r="A15" s="126" t="s">
        <v>111</v>
      </c>
    </row>
    <row r="16">
      <c r="A16" s="127" t="s">
        <v>112</v>
      </c>
    </row>
  </sheetData>
  <drawing r:id="rId1"/>
</worksheet>
</file>